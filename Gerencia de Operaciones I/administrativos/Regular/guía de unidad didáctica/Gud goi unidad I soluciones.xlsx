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/administrativos/Regular/guía de unidad didáctica/"/>
    </mc:Choice>
  </mc:AlternateContent>
  <xr:revisionPtr revIDLastSave="116" documentId="8_{5831AF94-FD95-43FD-A844-2B41BEEBEA76}" xr6:coauthVersionLast="47" xr6:coauthVersionMax="47" xr10:uidLastSave="{74216FAA-E719-4860-948D-86F3A7DDC7E0}"/>
  <bookViews>
    <workbookView xWindow="-108" yWindow="-108" windowWidth="23256" windowHeight="12456" activeTab="1" xr2:uid="{AD75A483-0137-4C9B-81A0-5C4F9A9F54CA}"/>
  </bookViews>
  <sheets>
    <sheet name="Ejercicio 1" sheetId="1" r:id="rId1"/>
    <sheet name="Ejercicio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C25" i="2"/>
  <c r="C22" i="2"/>
  <c r="C21" i="2"/>
  <c r="C20" i="2"/>
  <c r="C17" i="2"/>
  <c r="H14" i="2"/>
  <c r="H5" i="2"/>
  <c r="H6" i="2"/>
  <c r="H7" i="2"/>
  <c r="H8" i="2"/>
  <c r="H9" i="2"/>
  <c r="H10" i="2"/>
  <c r="H11" i="2"/>
  <c r="H12" i="2"/>
  <c r="H13" i="2"/>
  <c r="H4" i="2"/>
  <c r="G4" i="2"/>
  <c r="G14" i="2" s="1"/>
  <c r="G5" i="2"/>
  <c r="G6" i="2"/>
  <c r="G7" i="2"/>
  <c r="G8" i="2"/>
  <c r="G9" i="2"/>
  <c r="G10" i="2"/>
  <c r="G11" i="2"/>
  <c r="G12" i="2"/>
  <c r="G13" i="2"/>
  <c r="F14" i="2"/>
  <c r="F5" i="2"/>
  <c r="F6" i="2"/>
  <c r="F7" i="2"/>
  <c r="F8" i="2"/>
  <c r="F9" i="2"/>
  <c r="F10" i="2"/>
  <c r="F11" i="2"/>
  <c r="F12" i="2"/>
  <c r="F13" i="2"/>
  <c r="F4" i="2"/>
  <c r="D14" i="2"/>
  <c r="E14" i="2"/>
  <c r="E5" i="2"/>
  <c r="E6" i="2"/>
  <c r="E7" i="2"/>
  <c r="E8" i="2"/>
  <c r="E9" i="2"/>
  <c r="E10" i="2"/>
  <c r="E11" i="2"/>
  <c r="E12" i="2"/>
  <c r="E13" i="2"/>
  <c r="E4" i="2"/>
  <c r="D4" i="2"/>
  <c r="D5" i="2"/>
  <c r="D6" i="2"/>
  <c r="D7" i="2"/>
  <c r="D8" i="2"/>
  <c r="D9" i="2"/>
  <c r="D10" i="2"/>
  <c r="D11" i="2"/>
  <c r="D12" i="2"/>
  <c r="D13" i="2"/>
  <c r="C19" i="2"/>
  <c r="C18" i="2"/>
  <c r="F9" i="1"/>
  <c r="F10" i="1" s="1"/>
  <c r="F11" i="1" s="1"/>
  <c r="F12" i="1" s="1"/>
  <c r="F13" i="1" s="1"/>
  <c r="F14" i="1" s="1"/>
  <c r="F15" i="1" s="1"/>
  <c r="F8" i="1"/>
  <c r="F7" i="1"/>
  <c r="E8" i="1"/>
  <c r="E9" i="1"/>
  <c r="E10" i="1"/>
  <c r="E11" i="1"/>
  <c r="E12" i="1"/>
  <c r="E13" i="1"/>
  <c r="E14" i="1"/>
  <c r="E15" i="1"/>
  <c r="E7" i="1"/>
  <c r="D8" i="1"/>
  <c r="D9" i="1"/>
  <c r="D10" i="1"/>
  <c r="D11" i="1"/>
  <c r="D12" i="1"/>
  <c r="D13" i="1"/>
  <c r="D14" i="1"/>
  <c r="D15" i="1"/>
  <c r="D7" i="1"/>
  <c r="C23" i="2" l="1"/>
</calcChain>
</file>

<file path=xl/sharedStrings.xml><?xml version="1.0" encoding="utf-8"?>
<sst xmlns="http://schemas.openxmlformats.org/spreadsheetml/2006/main" count="39" uniqueCount="37">
  <si>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</si>
  <si>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</si>
  <si>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</si>
  <si>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</si>
  <si>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</si>
  <si>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</si>
  <si>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</si>
  <si>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</si>
  <si>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</si>
  <si>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</si>
  <si>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</si>
  <si>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</si>
  <si>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</si>
  <si>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Ventas</t>
  </si>
  <si>
    <t>MMS (3m)</t>
  </si>
  <si>
    <t>PMP(3m)</t>
  </si>
  <si>
    <t>SE(0.3)</t>
  </si>
  <si>
    <t xml:space="preserve">  </t>
  </si>
  <si>
    <t xml:space="preserve"> aa</t>
  </si>
  <si>
    <t>Media (X)</t>
  </si>
  <si>
    <t>Media (Y)</t>
  </si>
  <si>
    <t>X</t>
  </si>
  <si>
    <t>Xi-X'</t>
  </si>
  <si>
    <t>yi-y'</t>
  </si>
  <si>
    <t>SUMA</t>
  </si>
  <si>
    <t>(Xi-X')(yi-y')</t>
  </si>
  <si>
    <t>(Xi-X')^2</t>
  </si>
  <si>
    <t>(yi-y')^2</t>
  </si>
  <si>
    <t>Sx,y</t>
  </si>
  <si>
    <t>Px,y</t>
  </si>
  <si>
    <t>Sx</t>
  </si>
  <si>
    <t>Sy</t>
  </si>
  <si>
    <t>b0</t>
  </si>
  <si>
    <t>b1</t>
  </si>
  <si>
    <t>n</t>
  </si>
  <si>
    <t>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</si>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</sst>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Pronósticos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'Ejercicio 1'!$B$4:$B$15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'Ejercicio 1'!$C$4:$C$15</c:f>
              <c:numCache>
                <c:formatCode>General</c:formatCode>
                <c:ptCount val="12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72</c:v>
                </c:pt>
                <c:pt idx="4">
                  <c:v>80</c:v>
                </c:pt>
                <c:pt idx="5">
                  <c:v>92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95</c:v>
                </c:pt>
                <c:pt idx="10">
                  <c:v>85</c:v>
                </c:pt>
                <c:pt idx="11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A9-4A9E-8FAB-F0F798171E7E}"/>
            </c:ext>
          </c:extLst>
        </c:ser>
        <c:ser>
          <c:idx val="1"/>
          <c:order val="1"/>
          <c:tx>
            <c:v>MMS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'Ejercicio 1'!$D$4:$D$15</c:f>
              <c:numCache>
                <c:formatCode>General</c:formatCode>
                <c:ptCount val="12"/>
                <c:pt idx="3" formatCode="0">
                  <c:v>55</c:v>
                </c:pt>
                <c:pt idx="4" formatCode="0">
                  <c:v>62.333333333333336</c:v>
                </c:pt>
                <c:pt idx="5" formatCode="0">
                  <c:v>70.666666666666671</c:v>
                </c:pt>
                <c:pt idx="6" formatCode="0">
                  <c:v>81.333333333333329</c:v>
                </c:pt>
                <c:pt idx="7" formatCode="0">
                  <c:v>90.666666666666671</c:v>
                </c:pt>
                <c:pt idx="8" formatCode="0">
                  <c:v>100.66666666666667</c:v>
                </c:pt>
                <c:pt idx="9" formatCode="0">
                  <c:v>110</c:v>
                </c:pt>
                <c:pt idx="10" formatCode="0">
                  <c:v>108.33333333333333</c:v>
                </c:pt>
                <c:pt idx="11" formatCode="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A9-4A9E-8FAB-F0F798171E7E}"/>
            </c:ext>
          </c:extLst>
        </c:ser>
        <c:ser>
          <c:idx val="2"/>
          <c:order val="2"/>
          <c:tx>
            <c:v>PMP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'Ejercicio 1'!$E$4:$E$15</c:f>
              <c:numCache>
                <c:formatCode>General</c:formatCode>
                <c:ptCount val="12"/>
                <c:pt idx="3" formatCode="0">
                  <c:v>56.5</c:v>
                </c:pt>
                <c:pt idx="4" formatCode="0">
                  <c:v>65</c:v>
                </c:pt>
                <c:pt idx="5" formatCode="0">
                  <c:v>73.599999999999994</c:v>
                </c:pt>
                <c:pt idx="6" formatCode="0">
                  <c:v>84.4</c:v>
                </c:pt>
                <c:pt idx="7" formatCode="0">
                  <c:v>93.6</c:v>
                </c:pt>
                <c:pt idx="8" formatCode="0">
                  <c:v>103.4</c:v>
                </c:pt>
                <c:pt idx="9" formatCode="0">
                  <c:v>113</c:v>
                </c:pt>
                <c:pt idx="10" formatCode="0">
                  <c:v>105.5</c:v>
                </c:pt>
                <c:pt idx="11" formatCode="0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A9-4A9E-8FAB-F0F798171E7E}"/>
            </c:ext>
          </c:extLst>
        </c:ser>
        <c:ser>
          <c:idx val="3"/>
          <c:order val="3"/>
          <c:tx>
            <c:v>SE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'Ejercicio 1'!$F$4:$F$15</c:f>
              <c:numCache>
                <c:formatCode>General</c:formatCode>
                <c:ptCount val="12"/>
                <c:pt idx="3" formatCode="0">
                  <c:v>55</c:v>
                </c:pt>
                <c:pt idx="4" formatCode="0">
                  <c:v>60.1</c:v>
                </c:pt>
                <c:pt idx="5" formatCode="0">
                  <c:v>66.070000000000007</c:v>
                </c:pt>
                <c:pt idx="6" formatCode="0">
                  <c:v>73.849000000000004</c:v>
                </c:pt>
                <c:pt idx="7" formatCode="0">
                  <c:v>81.694299999999998</c:v>
                </c:pt>
                <c:pt idx="8" formatCode="0">
                  <c:v>90.186009999999996</c:v>
                </c:pt>
                <c:pt idx="9" formatCode="0">
                  <c:v>99.130206999999999</c:v>
                </c:pt>
                <c:pt idx="10" formatCode="0">
                  <c:v>97.8911449</c:v>
                </c:pt>
                <c:pt idx="11" formatCode="0">
                  <c:v>94.023801430000006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A9-4A9E-8FAB-F0F798171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718400"/>
        <c:axId val="843709760"/>
      </c:lineChart>
      <c:catAx>
        <c:axId val="84371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709760"/>
        <c:crosses val="autoZero"/>
        <c:auto val="1"/>
        <c:lblAlgn val="ctr"/>
        <c:lblOffset val="100"/>
        <c:noMultiLvlLbl val="0"/>
      </c:catAx>
      <c:valAx>
        <c:axId val="8437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71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6</xdr:row>
      <xdr:rowOff>41910</xdr:rowOff>
    </xdr:from>
    <xdr:to>
      <xdr:col>13</xdr:col>
      <xdr:colOff>243840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15C384-ECEF-E851-B4E8-D47100835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98BD-2E50-48B7-BA25-7C1C5F41638A}">
  <dimension ref="B3:O24"/>
  <sheetViews>
    <sheetView workbookViewId="0">
      <selection activeCell="F24" sqref="F24"/>
    </sheetView>
  </sheetViews>
  <sheetFormatPr baseColWidth="10" defaultRowHeight="14.4" x14ac:dyDescent="0.3"/>
  <cols>
    <col min="2" max="2" width="10.21875" bestFit="1" customWidth="1"/>
    <col min="3" max="3" width="6.5546875" bestFit="1" customWidth="1"/>
    <col min="4" max="4" width="8.88671875" bestFit="1" customWidth="1"/>
    <col min="5" max="5" width="8.33203125" bestFit="1" customWidth="1"/>
    <col min="6" max="6" width="6.6640625" bestFit="1" customWidth="1"/>
  </cols>
  <sheetData>
    <row r="3" spans="2:15" x14ac:dyDescent="0.3">
      <c r="B3" t="s">
        <v>0</v>
      </c>
      <c r="C3" t="s">
        <v>13</v>
      </c>
      <c r="D3" t="s">
        <v>14</v>
      </c>
      <c r="E3" t="s">
        <v>15</v>
      </c>
      <c r="F3" t="s">
        <v>16</v>
      </c>
    </row>
    <row r="4" spans="2:15" x14ac:dyDescent="0.3">
      <c r="B4" t="s">
        <v>1</v>
      </c>
      <c r="C4">
        <v>50</v>
      </c>
    </row>
    <row r="5" spans="2:15" x14ac:dyDescent="0.3">
      <c r="B5" t="s">
        <v>2</v>
      </c>
      <c r="C5">
        <v>55</v>
      </c>
      <c r="O5" t="s">
        <v>18</v>
      </c>
    </row>
    <row r="6" spans="2:15" x14ac:dyDescent="0.3">
      <c r="B6" t="s">
        <v>3</v>
      </c>
      <c r="C6">
        <v>60</v>
      </c>
    </row>
    <row r="7" spans="2:15" x14ac:dyDescent="0.3">
      <c r="B7" t="s">
        <v>4</v>
      </c>
      <c r="C7">
        <v>72</v>
      </c>
      <c r="D7" s="1">
        <f>AVERAGE(C4:C6)</f>
        <v>55</v>
      </c>
      <c r="E7" s="1">
        <f>(0.5*C6)+(0.3*C5)+(0.2*C4)</f>
        <v>56.5</v>
      </c>
      <c r="F7" s="1">
        <f>D7</f>
        <v>55</v>
      </c>
    </row>
    <row r="8" spans="2:15" x14ac:dyDescent="0.3">
      <c r="B8" t="s">
        <v>5</v>
      </c>
      <c r="C8">
        <v>80</v>
      </c>
      <c r="D8" s="1">
        <f t="shared" ref="D8:D15" si="0">AVERAGE(C5:C7)</f>
        <v>62.333333333333336</v>
      </c>
      <c r="E8" s="1">
        <f t="shared" ref="E8:E15" si="1">(0.5*C7)+(0.3*C6)+(0.2*C5)</f>
        <v>65</v>
      </c>
      <c r="F8" s="1">
        <f>F7+0.3*(C7-F7)</f>
        <v>60.1</v>
      </c>
    </row>
    <row r="9" spans="2:15" x14ac:dyDescent="0.3">
      <c r="B9" t="s">
        <v>6</v>
      </c>
      <c r="C9">
        <v>92</v>
      </c>
      <c r="D9" s="1">
        <f t="shared" si="0"/>
        <v>70.666666666666671</v>
      </c>
      <c r="E9" s="1">
        <f t="shared" si="1"/>
        <v>73.599999999999994</v>
      </c>
      <c r="F9" s="1">
        <f t="shared" ref="F9:F15" si="2">F8+0.3*(C8-F8)</f>
        <v>66.070000000000007</v>
      </c>
    </row>
    <row r="10" spans="2:15" x14ac:dyDescent="0.3">
      <c r="B10" t="s">
        <v>7</v>
      </c>
      <c r="C10">
        <v>100</v>
      </c>
      <c r="D10" s="1">
        <f t="shared" si="0"/>
        <v>81.333333333333329</v>
      </c>
      <c r="E10" s="1">
        <f t="shared" si="1"/>
        <v>84.4</v>
      </c>
      <c r="F10" s="1">
        <f t="shared" si="2"/>
        <v>73.849000000000004</v>
      </c>
    </row>
    <row r="11" spans="2:15" x14ac:dyDescent="0.3">
      <c r="B11" t="s">
        <v>8</v>
      </c>
      <c r="C11">
        <v>110</v>
      </c>
      <c r="D11" s="1">
        <f t="shared" si="0"/>
        <v>90.666666666666671</v>
      </c>
      <c r="E11" s="1">
        <f t="shared" si="1"/>
        <v>93.6</v>
      </c>
      <c r="F11" s="1">
        <f t="shared" si="2"/>
        <v>81.694299999999998</v>
      </c>
    </row>
    <row r="12" spans="2:15" x14ac:dyDescent="0.3">
      <c r="B12" t="s">
        <v>9</v>
      </c>
      <c r="C12">
        <v>120</v>
      </c>
      <c r="D12" s="1">
        <f t="shared" si="0"/>
        <v>100.66666666666667</v>
      </c>
      <c r="E12" s="1">
        <f t="shared" si="1"/>
        <v>103.4</v>
      </c>
      <c r="F12" s="1">
        <f t="shared" si="2"/>
        <v>90.186009999999996</v>
      </c>
    </row>
    <row r="13" spans="2:15" x14ac:dyDescent="0.3">
      <c r="B13" t="s">
        <v>10</v>
      </c>
      <c r="C13">
        <v>95</v>
      </c>
      <c r="D13" s="1">
        <f t="shared" si="0"/>
        <v>110</v>
      </c>
      <c r="E13" s="1">
        <f t="shared" si="1"/>
        <v>113</v>
      </c>
      <c r="F13" s="1">
        <f t="shared" si="2"/>
        <v>99.130206999999999</v>
      </c>
    </row>
    <row r="14" spans="2:15" x14ac:dyDescent="0.3">
      <c r="B14" t="s">
        <v>11</v>
      </c>
      <c r="C14">
        <v>85</v>
      </c>
      <c r="D14" s="1">
        <f t="shared" si="0"/>
        <v>108.33333333333333</v>
      </c>
      <c r="E14" s="1">
        <f t="shared" si="1"/>
        <v>105.5</v>
      </c>
      <c r="F14" s="1">
        <f t="shared" si="2"/>
        <v>97.8911449</v>
      </c>
    </row>
    <row r="15" spans="2:15" x14ac:dyDescent="0.3">
      <c r="B15" t="s">
        <v>12</v>
      </c>
      <c r="C15">
        <v>78</v>
      </c>
      <c r="D15" s="1">
        <f t="shared" si="0"/>
        <v>100</v>
      </c>
      <c r="E15" s="1">
        <f t="shared" si="1"/>
        <v>95</v>
      </c>
      <c r="F15" s="1">
        <f t="shared" si="2"/>
        <v>94.023801430000006</v>
      </c>
    </row>
    <row r="24" spans="5:7" x14ac:dyDescent="0.3">
      <c r="E24" t="s">
        <v>17</v>
      </c>
      <c r="F24" t="s">
        <v>36</v>
      </c>
      <c r="G24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EBDB-B43D-470F-87F8-65B306DC8D80}">
  <dimension ref="B3:H26"/>
  <sheetViews>
    <sheetView tabSelected="1" workbookViewId="0">
      <selection activeCell="C25" sqref="C25"/>
    </sheetView>
  </sheetViews>
  <sheetFormatPr baseColWidth="10" defaultRowHeight="14.4" x14ac:dyDescent="0.3"/>
  <cols>
    <col min="2" max="18" width="10.77734375" customWidth="1"/>
  </cols>
  <sheetData>
    <row r="3" spans="2:8" ht="15" x14ac:dyDescent="0.3">
      <c r="B3" s="2" t="s">
        <v>21</v>
      </c>
      <c r="C3" s="2" t="s">
        <v>36</v>
      </c>
      <c r="D3" t="s">
        <v>22</v>
      </c>
      <c r="E3" t="s">
        <v>23</v>
      </c>
      <c r="F3" t="s">
        <v>25</v>
      </c>
      <c r="G3" t="s">
        <v>26</v>
      </c>
      <c r="H3" t="s">
        <v>27</v>
      </c>
    </row>
    <row r="4" spans="2:8" ht="15" x14ac:dyDescent="0.3">
      <c r="B4" s="3">
        <v>10</v>
      </c>
      <c r="C4" s="3">
        <v>20</v>
      </c>
      <c r="D4" s="4">
        <f>B4-$C$18</f>
        <v>-1.8000000000000007</v>
      </c>
      <c r="E4" s="4">
        <f>C4-$C$19</f>
        <v>-3.3999999999999986</v>
      </c>
      <c r="F4">
        <f>D4*E4</f>
        <v>6.12</v>
      </c>
      <c r="G4">
        <f>POWER(D4,2)</f>
        <v>3.2400000000000024</v>
      </c>
      <c r="H4">
        <f>POWER(E4,2)</f>
        <v>11.55999999999999</v>
      </c>
    </row>
    <row r="5" spans="2:8" ht="15" x14ac:dyDescent="0.3">
      <c r="B5" s="3">
        <v>15</v>
      </c>
      <c r="C5" s="3">
        <v>25</v>
      </c>
      <c r="D5" s="4">
        <f t="shared" ref="D5:D13" si="0">B5-$C$18</f>
        <v>3.1999999999999993</v>
      </c>
      <c r="E5" s="4">
        <f t="shared" ref="E5:E13" si="1">C5-$C$19</f>
        <v>1.6000000000000014</v>
      </c>
      <c r="F5">
        <f t="shared" ref="F5:F13" si="2">D5*E5</f>
        <v>5.1200000000000037</v>
      </c>
      <c r="G5">
        <f t="shared" ref="G5:G13" si="3">POWER(D5,2)</f>
        <v>10.239999999999995</v>
      </c>
      <c r="H5">
        <f t="shared" ref="H5:H13" si="4">POWER(E5,2)</f>
        <v>2.5600000000000045</v>
      </c>
    </row>
    <row r="6" spans="2:8" ht="15" x14ac:dyDescent="0.3">
      <c r="B6" s="3">
        <v>8</v>
      </c>
      <c r="C6" s="3">
        <v>18</v>
      </c>
      <c r="D6" s="4">
        <f t="shared" si="0"/>
        <v>-3.8000000000000007</v>
      </c>
      <c r="E6" s="4">
        <f t="shared" si="1"/>
        <v>-5.3999999999999986</v>
      </c>
      <c r="F6">
        <f t="shared" si="2"/>
        <v>20.52</v>
      </c>
      <c r="G6">
        <f t="shared" si="3"/>
        <v>14.440000000000005</v>
      </c>
      <c r="H6">
        <f t="shared" si="4"/>
        <v>29.159999999999986</v>
      </c>
    </row>
    <row r="7" spans="2:8" ht="15" x14ac:dyDescent="0.3">
      <c r="B7" s="3">
        <v>12</v>
      </c>
      <c r="C7" s="3">
        <v>22</v>
      </c>
      <c r="D7" s="4">
        <f t="shared" si="0"/>
        <v>0.19999999999999929</v>
      </c>
      <c r="E7" s="4">
        <f t="shared" si="1"/>
        <v>-1.3999999999999986</v>
      </c>
      <c r="F7">
        <f t="shared" si="2"/>
        <v>-0.27999999999999869</v>
      </c>
      <c r="G7">
        <f t="shared" si="3"/>
        <v>3.9999999999999716E-2</v>
      </c>
      <c r="H7">
        <f t="shared" si="4"/>
        <v>1.959999999999996</v>
      </c>
    </row>
    <row r="8" spans="2:8" ht="15" x14ac:dyDescent="0.3">
      <c r="B8" s="3">
        <v>14</v>
      </c>
      <c r="C8" s="3">
        <v>28</v>
      </c>
      <c r="D8" s="4">
        <f t="shared" si="0"/>
        <v>2.1999999999999993</v>
      </c>
      <c r="E8" s="4">
        <f t="shared" si="1"/>
        <v>4.6000000000000014</v>
      </c>
      <c r="F8">
        <f t="shared" si="2"/>
        <v>10.119999999999999</v>
      </c>
      <c r="G8">
        <f t="shared" si="3"/>
        <v>4.8399999999999972</v>
      </c>
      <c r="H8">
        <f t="shared" si="4"/>
        <v>21.160000000000014</v>
      </c>
    </row>
    <row r="9" spans="2:8" ht="15" x14ac:dyDescent="0.3">
      <c r="B9" s="3">
        <v>9</v>
      </c>
      <c r="C9" s="3">
        <v>21</v>
      </c>
      <c r="D9" s="4">
        <f t="shared" si="0"/>
        <v>-2.8000000000000007</v>
      </c>
      <c r="E9" s="4">
        <f t="shared" si="1"/>
        <v>-2.3999999999999986</v>
      </c>
      <c r="F9">
        <f t="shared" si="2"/>
        <v>6.719999999999998</v>
      </c>
      <c r="G9">
        <f t="shared" si="3"/>
        <v>7.8400000000000043</v>
      </c>
      <c r="H9">
        <f t="shared" si="4"/>
        <v>5.7599999999999936</v>
      </c>
    </row>
    <row r="10" spans="2:8" ht="15" x14ac:dyDescent="0.3">
      <c r="B10" s="3">
        <v>11</v>
      </c>
      <c r="C10" s="3">
        <v>24</v>
      </c>
      <c r="D10" s="4">
        <f t="shared" si="0"/>
        <v>-0.80000000000000071</v>
      </c>
      <c r="E10" s="4">
        <f t="shared" si="1"/>
        <v>0.60000000000000142</v>
      </c>
      <c r="F10">
        <f t="shared" si="2"/>
        <v>-0.48000000000000154</v>
      </c>
      <c r="G10">
        <f t="shared" si="3"/>
        <v>0.64000000000000112</v>
      </c>
      <c r="H10">
        <f t="shared" si="4"/>
        <v>0.36000000000000171</v>
      </c>
    </row>
    <row r="11" spans="2:8" ht="15" x14ac:dyDescent="0.3">
      <c r="B11" s="3">
        <v>13</v>
      </c>
      <c r="C11" s="3">
        <v>26</v>
      </c>
      <c r="D11" s="4">
        <f t="shared" si="0"/>
        <v>1.1999999999999993</v>
      </c>
      <c r="E11" s="4">
        <f t="shared" si="1"/>
        <v>2.6000000000000014</v>
      </c>
      <c r="F11">
        <f t="shared" si="2"/>
        <v>3.1199999999999997</v>
      </c>
      <c r="G11">
        <f t="shared" si="3"/>
        <v>1.4399999999999984</v>
      </c>
      <c r="H11">
        <f t="shared" si="4"/>
        <v>6.7600000000000078</v>
      </c>
    </row>
    <row r="12" spans="2:8" ht="15" x14ac:dyDescent="0.3">
      <c r="B12" s="3">
        <v>10</v>
      </c>
      <c r="C12" s="3">
        <v>20</v>
      </c>
      <c r="D12" s="4">
        <f t="shared" si="0"/>
        <v>-1.8000000000000007</v>
      </c>
      <c r="E12" s="4">
        <f t="shared" si="1"/>
        <v>-3.3999999999999986</v>
      </c>
      <c r="F12">
        <f t="shared" si="2"/>
        <v>6.12</v>
      </c>
      <c r="G12">
        <f t="shared" si="3"/>
        <v>3.2400000000000024</v>
      </c>
      <c r="H12">
        <f t="shared" si="4"/>
        <v>11.55999999999999</v>
      </c>
    </row>
    <row r="13" spans="2:8" ht="15" x14ac:dyDescent="0.3">
      <c r="B13" s="3">
        <v>16</v>
      </c>
      <c r="C13" s="3">
        <v>30</v>
      </c>
      <c r="D13" s="4">
        <f t="shared" si="0"/>
        <v>4.1999999999999993</v>
      </c>
      <c r="E13" s="4">
        <f t="shared" si="1"/>
        <v>6.6000000000000014</v>
      </c>
      <c r="F13">
        <f t="shared" si="2"/>
        <v>27.720000000000002</v>
      </c>
      <c r="G13">
        <f t="shared" si="3"/>
        <v>17.639999999999993</v>
      </c>
      <c r="H13">
        <f t="shared" si="4"/>
        <v>43.560000000000016</v>
      </c>
    </row>
    <row r="14" spans="2:8" x14ac:dyDescent="0.3">
      <c r="C14" t="s">
        <v>24</v>
      </c>
      <c r="D14" s="4">
        <f>D4+D5+D6+D7+D8+D9+D10+D11+D12+D13</f>
        <v>-7.1054273576010019E-15</v>
      </c>
      <c r="E14" s="4">
        <f>SUM(E4:E13)</f>
        <v>1.4210854715202004E-14</v>
      </c>
      <c r="F14">
        <f>SUM(F4:F13)</f>
        <v>84.8</v>
      </c>
      <c r="G14">
        <f>SUM(G4:G13)</f>
        <v>63.599999999999994</v>
      </c>
      <c r="H14">
        <f>SUM(H4:H13)</f>
        <v>134.39999999999998</v>
      </c>
    </row>
    <row r="17" spans="2:3" x14ac:dyDescent="0.3">
      <c r="B17" t="s">
        <v>34</v>
      </c>
      <c r="C17">
        <f>COUNT(B4:B13)</f>
        <v>10</v>
      </c>
    </row>
    <row r="18" spans="2:3" x14ac:dyDescent="0.3">
      <c r="B18" s="5" t="s">
        <v>19</v>
      </c>
      <c r="C18">
        <f>AVERAGE(B4:B13)</f>
        <v>11.8</v>
      </c>
    </row>
    <row r="19" spans="2:3" x14ac:dyDescent="0.3">
      <c r="B19" s="5" t="s">
        <v>20</v>
      </c>
      <c r="C19">
        <f>AVERAGE(C4:C13)</f>
        <v>23.4</v>
      </c>
    </row>
    <row r="20" spans="2:3" x14ac:dyDescent="0.3">
      <c r="B20" s="5" t="s">
        <v>28</v>
      </c>
      <c r="C20">
        <f>F14/(C17-1)</f>
        <v>9.4222222222222225</v>
      </c>
    </row>
    <row r="21" spans="2:3" x14ac:dyDescent="0.3">
      <c r="B21" s="5" t="s">
        <v>30</v>
      </c>
      <c r="C21">
        <f>SQRT(G14/(C17-1))</f>
        <v>2.6583202716502514</v>
      </c>
    </row>
    <row r="22" spans="2:3" x14ac:dyDescent="0.3">
      <c r="B22" s="5" t="s">
        <v>31</v>
      </c>
      <c r="C22">
        <f>SQRT(H14/(C17-1))</f>
        <v>3.8643671323171831</v>
      </c>
    </row>
    <row r="23" spans="2:3" x14ac:dyDescent="0.3">
      <c r="B23" s="5" t="s">
        <v>29</v>
      </c>
      <c r="C23">
        <f>C20/(C21*C22)</f>
        <v>0.91720763258372495</v>
      </c>
    </row>
    <row r="24" spans="2:3" x14ac:dyDescent="0.3">
      <c r="B24" s="5" t="s">
        <v>32</v>
      </c>
      <c r="C24">
        <f>C19-C25*C18</f>
        <v>7.6666666666666625</v>
      </c>
    </row>
    <row r="25" spans="2:3" x14ac:dyDescent="0.3">
      <c r="B25" s="5" t="s">
        <v>33</v>
      </c>
      <c r="C25">
        <f>F14/G14</f>
        <v>1.3333333333333335</v>
      </c>
    </row>
    <row r="26" spans="2:3" x14ac:dyDescent="0.3">
      <c r="C2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cp:lastPrinted>2025-03-12T21:09:02Z</cp:lastPrinted>
  <dcterms:created xsi:type="dcterms:W3CDTF">2025-03-12T20:47:02Z</dcterms:created>
  <dcterms:modified xsi:type="dcterms:W3CDTF">2025-03-19T19:14:45Z</dcterms:modified>
</cp:coreProperties>
</file>