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Clases\Materias\Gerencia de Operaciones I\"/>
    </mc:Choice>
  </mc:AlternateContent>
  <xr:revisionPtr revIDLastSave="0" documentId="8_{3D730703-13D5-41FF-A431-7B897F1D5CE0}" xr6:coauthVersionLast="47" xr6:coauthVersionMax="47" xr10:uidLastSave="{00000000-0000-0000-0000-000000000000}"/>
  <bookViews>
    <workbookView xWindow="-120" yWindow="-120" windowWidth="20730" windowHeight="11310" activeTab="2" xr2:uid="{0BE4D334-CE11-4ABD-8B02-1E90F8910D1B}"/>
  </bookViews>
  <sheets>
    <sheet name="MAD" sheetId="1" r:id="rId1"/>
    <sheet name="MSE" sheetId="2" r:id="rId2"/>
    <sheet name="MAPE" sheetId="3" r:id="rId3"/>
    <sheet name="Trabaj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2" l="1"/>
  <c r="H3" i="3"/>
  <c r="H4" i="3"/>
  <c r="H5" i="3"/>
  <c r="H6" i="3"/>
  <c r="H10" i="3" s="1"/>
  <c r="H11" i="3" s="1"/>
  <c r="H7" i="3"/>
  <c r="H8" i="3"/>
  <c r="H9" i="3"/>
  <c r="H2" i="3"/>
  <c r="G3" i="3"/>
  <c r="G4" i="3"/>
  <c r="G5" i="3"/>
  <c r="G6" i="3"/>
  <c r="G7" i="3"/>
  <c r="G8" i="3"/>
  <c r="G9" i="3"/>
  <c r="G2" i="3"/>
  <c r="G10" i="3" s="1"/>
  <c r="G11" i="3" s="1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E11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F2" i="2"/>
  <c r="E2" i="2"/>
  <c r="E10" i="2" s="1"/>
  <c r="F3" i="1"/>
  <c r="F4" i="1"/>
  <c r="F5" i="1"/>
  <c r="F6" i="1"/>
  <c r="F7" i="1"/>
  <c r="F8" i="1"/>
  <c r="F9" i="1"/>
  <c r="F2" i="1"/>
  <c r="E2" i="1"/>
  <c r="E3" i="1"/>
  <c r="E4" i="1"/>
  <c r="E5" i="1"/>
  <c r="E6" i="1"/>
  <c r="E7" i="1"/>
  <c r="E8" i="1"/>
  <c r="E9" i="1"/>
  <c r="F10" i="1" l="1"/>
  <c r="F11" i="1" s="1"/>
  <c r="F11" i="2"/>
  <c r="E10" i="1"/>
  <c r="E11" i="1" s="1"/>
</calcChain>
</file>

<file path=xl/sharedStrings.xml><?xml version="1.0" encoding="utf-8"?>
<sst xmlns="http://schemas.openxmlformats.org/spreadsheetml/2006/main" count="30" uniqueCount="22">
  <si>
    <t>Trimestre</t>
  </si>
  <si>
    <t>Toneladas reales descargadas</t>
  </si>
  <si>
    <t>Pronísto para 0.1</t>
  </si>
  <si>
    <t>Pronóstico para 0.5</t>
  </si>
  <si>
    <t>MAD</t>
  </si>
  <si>
    <t>MSE</t>
  </si>
  <si>
    <t>MAPE</t>
  </si>
  <si>
    <t>N</t>
  </si>
  <si>
    <t>Mes</t>
  </si>
  <si>
    <t>At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</si>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</sst>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5DE0-2466-47E1-A1B0-06F682B5547D}">
  <dimension ref="A1:F11"/>
  <sheetViews>
    <sheetView workbookViewId="0">
      <selection activeCell="E1" sqref="E1"/>
    </sheetView>
  </sheetViews>
  <sheetFormatPr baseColWidth="10" defaultRowHeight="15" x14ac:dyDescent="0.25"/>
  <cols>
    <col min="2" max="2" width="17.42578125" customWidth="1"/>
    <col min="3" max="3" width="15.5703125" bestFit="1" customWidth="1"/>
    <col min="4" max="4" width="1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>
        <v>1</v>
      </c>
      <c r="B2">
        <v>180</v>
      </c>
      <c r="C2">
        <v>175</v>
      </c>
      <c r="D2">
        <v>175</v>
      </c>
      <c r="E2">
        <f>ABS(B2-C2)</f>
        <v>5</v>
      </c>
      <c r="F2">
        <f>ABS(B2-D2)</f>
        <v>5</v>
      </c>
    </row>
    <row r="3" spans="1:6" x14ac:dyDescent="0.25">
      <c r="A3">
        <v>2</v>
      </c>
      <c r="B3">
        <v>168</v>
      </c>
      <c r="C3">
        <v>175.5</v>
      </c>
      <c r="D3">
        <v>177.5</v>
      </c>
      <c r="E3">
        <f t="shared" ref="E3:E9" si="0">ABS(B3-C3)</f>
        <v>7.5</v>
      </c>
      <c r="F3">
        <f t="shared" ref="F3:F9" si="1">ABS(B3-D3)</f>
        <v>9.5</v>
      </c>
    </row>
    <row r="4" spans="1:6" x14ac:dyDescent="0.25">
      <c r="A4">
        <v>3</v>
      </c>
      <c r="B4">
        <v>159</v>
      </c>
      <c r="C4">
        <v>174.75</v>
      </c>
      <c r="D4">
        <v>172.75</v>
      </c>
      <c r="E4">
        <f t="shared" si="0"/>
        <v>15.75</v>
      </c>
      <c r="F4">
        <f t="shared" si="1"/>
        <v>13.75</v>
      </c>
    </row>
    <row r="5" spans="1:6" x14ac:dyDescent="0.25">
      <c r="A5">
        <v>4</v>
      </c>
      <c r="B5">
        <v>175</v>
      </c>
      <c r="C5">
        <v>173.18</v>
      </c>
      <c r="D5">
        <v>165.88</v>
      </c>
      <c r="E5">
        <f t="shared" si="0"/>
        <v>1.8199999999999932</v>
      </c>
      <c r="F5">
        <f t="shared" si="1"/>
        <v>9.1200000000000045</v>
      </c>
    </row>
    <row r="6" spans="1:6" x14ac:dyDescent="0.25">
      <c r="A6">
        <v>5</v>
      </c>
      <c r="B6">
        <v>190</v>
      </c>
      <c r="C6">
        <v>173.36</v>
      </c>
      <c r="D6">
        <v>170.44</v>
      </c>
      <c r="E6">
        <f t="shared" si="0"/>
        <v>16.639999999999986</v>
      </c>
      <c r="F6">
        <f t="shared" si="1"/>
        <v>19.560000000000002</v>
      </c>
    </row>
    <row r="7" spans="1:6" x14ac:dyDescent="0.25">
      <c r="A7">
        <v>6</v>
      </c>
      <c r="B7">
        <v>205</v>
      </c>
      <c r="C7">
        <v>175.02</v>
      </c>
      <c r="D7">
        <v>180.22</v>
      </c>
      <c r="E7">
        <f t="shared" si="0"/>
        <v>29.97999999999999</v>
      </c>
      <c r="F7">
        <f t="shared" si="1"/>
        <v>24.78</v>
      </c>
    </row>
    <row r="8" spans="1:6" x14ac:dyDescent="0.25">
      <c r="A8">
        <v>7</v>
      </c>
      <c r="B8">
        <v>180</v>
      </c>
      <c r="C8">
        <v>178.02</v>
      </c>
      <c r="D8">
        <v>192.61</v>
      </c>
      <c r="E8">
        <f t="shared" si="0"/>
        <v>1.9799999999999898</v>
      </c>
      <c r="F8">
        <f t="shared" si="1"/>
        <v>12.610000000000014</v>
      </c>
    </row>
    <row r="9" spans="1:6" x14ac:dyDescent="0.25">
      <c r="A9">
        <v>8</v>
      </c>
      <c r="B9">
        <v>182</v>
      </c>
      <c r="C9">
        <v>178.22</v>
      </c>
      <c r="D9">
        <v>186.3</v>
      </c>
      <c r="E9">
        <f t="shared" si="0"/>
        <v>3.7800000000000011</v>
      </c>
      <c r="F9">
        <f t="shared" si="1"/>
        <v>4.3000000000000114</v>
      </c>
    </row>
    <row r="10" spans="1:6" x14ac:dyDescent="0.25">
      <c r="E10">
        <f>SUM(E2:E9)</f>
        <v>82.44999999999996</v>
      </c>
      <c r="F10">
        <f>SUM(F2:F9)</f>
        <v>98.620000000000033</v>
      </c>
    </row>
    <row r="11" spans="1:6" x14ac:dyDescent="0.25">
      <c r="D11" t="s">
        <v>4</v>
      </c>
      <c r="E11">
        <f>E10/A9</f>
        <v>10.306249999999995</v>
      </c>
      <c r="F11">
        <f>F10/A9</f>
        <v>12.327500000000004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4F19-178C-4E72-B7B0-074D527C8B7C}">
  <dimension ref="A1:F11"/>
  <sheetViews>
    <sheetView topLeftCell="A2" zoomScale="190" zoomScaleNormal="190" workbookViewId="0">
      <selection activeCell="H8" sqref="H8"/>
    </sheetView>
  </sheetViews>
  <sheetFormatPr baseColWidth="10" defaultRowHeight="15" x14ac:dyDescent="0.25"/>
  <cols>
    <col min="1" max="1" width="9.5703125" bestFit="1" customWidth="1"/>
    <col min="2" max="2" width="12.28515625" customWidth="1"/>
  </cols>
  <sheetData>
    <row r="1" spans="1:6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3"/>
      <c r="F1" s="3"/>
    </row>
    <row r="2" spans="1:6" x14ac:dyDescent="0.25">
      <c r="A2" s="3">
        <v>1</v>
      </c>
      <c r="B2" s="3">
        <v>180</v>
      </c>
      <c r="C2" s="3">
        <v>175</v>
      </c>
      <c r="D2" s="3">
        <v>175</v>
      </c>
      <c r="E2" s="3">
        <f>POWER($B2-C2,2)</f>
        <v>25</v>
      </c>
      <c r="F2" s="3">
        <f>POWER($B2-D2,2)</f>
        <v>25</v>
      </c>
    </row>
    <row r="3" spans="1:6" x14ac:dyDescent="0.25">
      <c r="A3" s="3">
        <v>2</v>
      </c>
      <c r="B3" s="3">
        <v>168</v>
      </c>
      <c r="C3" s="3">
        <v>175.5</v>
      </c>
      <c r="D3" s="3">
        <v>177.5</v>
      </c>
      <c r="E3" s="3">
        <f t="shared" ref="E3:E9" si="0">POWER($B3-C3,2)</f>
        <v>56.25</v>
      </c>
      <c r="F3" s="3">
        <f t="shared" ref="F3:F9" si="1">POWER($B3-D3,2)</f>
        <v>90.25</v>
      </c>
    </row>
    <row r="4" spans="1:6" x14ac:dyDescent="0.25">
      <c r="A4" s="3">
        <v>3</v>
      </c>
      <c r="B4" s="3">
        <v>159</v>
      </c>
      <c r="C4" s="3">
        <v>174.75</v>
      </c>
      <c r="D4" s="3">
        <v>172.75</v>
      </c>
      <c r="E4" s="3">
        <f t="shared" si="0"/>
        <v>248.0625</v>
      </c>
      <c r="F4" s="3">
        <f t="shared" si="1"/>
        <v>189.0625</v>
      </c>
    </row>
    <row r="5" spans="1:6" x14ac:dyDescent="0.25">
      <c r="A5" s="3">
        <v>4</v>
      </c>
      <c r="B5" s="3">
        <v>175</v>
      </c>
      <c r="C5" s="3">
        <v>173.18</v>
      </c>
      <c r="D5" s="3">
        <v>165.88</v>
      </c>
      <c r="E5" s="3">
        <f t="shared" si="0"/>
        <v>3.3123999999999754</v>
      </c>
      <c r="F5" s="3">
        <f t="shared" si="1"/>
        <v>83.174400000000077</v>
      </c>
    </row>
    <row r="6" spans="1:6" x14ac:dyDescent="0.25">
      <c r="A6" s="3">
        <v>5</v>
      </c>
      <c r="B6" s="3">
        <v>190</v>
      </c>
      <c r="C6" s="3">
        <v>173.36</v>
      </c>
      <c r="D6" s="3">
        <v>170.44</v>
      </c>
      <c r="E6" s="3">
        <f t="shared" si="0"/>
        <v>276.88959999999952</v>
      </c>
      <c r="F6" s="3">
        <f t="shared" si="1"/>
        <v>382.59360000000009</v>
      </c>
    </row>
    <row r="7" spans="1:6" x14ac:dyDescent="0.25">
      <c r="A7" s="3">
        <v>6</v>
      </c>
      <c r="B7" s="3">
        <v>205</v>
      </c>
      <c r="C7" s="3">
        <v>175.02</v>
      </c>
      <c r="D7" s="3">
        <v>180.22</v>
      </c>
      <c r="E7" s="3">
        <f t="shared" si="0"/>
        <v>898.8003999999994</v>
      </c>
      <c r="F7" s="3">
        <f t="shared" si="1"/>
        <v>614.04840000000002</v>
      </c>
    </row>
    <row r="8" spans="1:6" x14ac:dyDescent="0.25">
      <c r="A8" s="3">
        <v>7</v>
      </c>
      <c r="B8" s="3">
        <v>180</v>
      </c>
      <c r="C8" s="3">
        <v>178.02</v>
      </c>
      <c r="D8" s="3">
        <v>192.61</v>
      </c>
      <c r="E8" s="3">
        <f t="shared" si="0"/>
        <v>3.9203999999999595</v>
      </c>
      <c r="F8" s="3">
        <f t="shared" si="1"/>
        <v>159.01210000000034</v>
      </c>
    </row>
    <row r="9" spans="1:6" x14ac:dyDescent="0.25">
      <c r="A9" s="3">
        <v>8</v>
      </c>
      <c r="B9" s="3">
        <v>182</v>
      </c>
      <c r="C9" s="3">
        <v>178.22</v>
      </c>
      <c r="D9" s="3">
        <v>186.3</v>
      </c>
      <c r="E9" s="3">
        <f t="shared" si="0"/>
        <v>14.288400000000008</v>
      </c>
      <c r="F9" s="3">
        <f t="shared" si="1"/>
        <v>18.490000000000098</v>
      </c>
    </row>
    <row r="10" spans="1:6" x14ac:dyDescent="0.25">
      <c r="E10">
        <f>SUM(E2:E9)</f>
        <v>1526.5236999999988</v>
      </c>
      <c r="F10">
        <f>SUM(F2:F9)</f>
        <v>1561.6310000000005</v>
      </c>
    </row>
    <row r="11" spans="1:6" x14ac:dyDescent="0.25">
      <c r="D11" t="s">
        <v>5</v>
      </c>
      <c r="E11">
        <f>E10/A9</f>
        <v>190.81546249999985</v>
      </c>
      <c r="F11">
        <f>F10/A9</f>
        <v>195.20387500000007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3146-E7F8-45B0-95C1-766B20161FFF}">
  <dimension ref="A1:H11"/>
  <sheetViews>
    <sheetView tabSelected="1" zoomScale="166" zoomScaleNormal="166" workbookViewId="0">
      <selection activeCell="J4" sqref="J4"/>
    </sheetView>
  </sheetViews>
  <sheetFormatPr baseColWidth="10" defaultRowHeight="15" x14ac:dyDescent="0.25"/>
  <sheetData>
    <row r="1" spans="1:8" ht="52.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8" x14ac:dyDescent="0.25">
      <c r="A2">
        <v>1</v>
      </c>
      <c r="B2">
        <v>180</v>
      </c>
      <c r="C2">
        <v>175</v>
      </c>
      <c r="D2">
        <v>175</v>
      </c>
      <c r="E2">
        <f>ABS(B2-C2)</f>
        <v>5</v>
      </c>
      <c r="F2">
        <f>ABS(B2-D2)</f>
        <v>5</v>
      </c>
      <c r="G2">
        <f>100*E2/$B2</f>
        <v>2.7777777777777777</v>
      </c>
      <c r="H2">
        <f>100*F2/$B2</f>
        <v>2.7777777777777777</v>
      </c>
    </row>
    <row r="3" spans="1:8" x14ac:dyDescent="0.25">
      <c r="A3">
        <v>2</v>
      </c>
      <c r="B3">
        <v>168</v>
      </c>
      <c r="C3">
        <v>175.5</v>
      </c>
      <c r="D3">
        <v>177.5</v>
      </c>
      <c r="E3">
        <f t="shared" ref="E3:E9" si="0">ABS(B3-C3)</f>
        <v>7.5</v>
      </c>
      <c r="F3">
        <f t="shared" ref="F3:F9" si="1">ABS(B3-D3)</f>
        <v>9.5</v>
      </c>
      <c r="G3">
        <f t="shared" ref="G3:G9" si="2">100*E3/$B3</f>
        <v>4.4642857142857144</v>
      </c>
      <c r="H3">
        <f t="shared" ref="H3:H9" si="3">100*F3/$B3</f>
        <v>5.6547619047619051</v>
      </c>
    </row>
    <row r="4" spans="1:8" x14ac:dyDescent="0.25">
      <c r="A4">
        <v>3</v>
      </c>
      <c r="B4">
        <v>159</v>
      </c>
      <c r="C4">
        <v>174.75</v>
      </c>
      <c r="D4">
        <v>172.75</v>
      </c>
      <c r="E4">
        <f t="shared" si="0"/>
        <v>15.75</v>
      </c>
      <c r="F4">
        <f t="shared" si="1"/>
        <v>13.75</v>
      </c>
      <c r="G4">
        <f t="shared" si="2"/>
        <v>9.9056603773584904</v>
      </c>
      <c r="H4">
        <f t="shared" si="3"/>
        <v>8.6477987421383649</v>
      </c>
    </row>
    <row r="5" spans="1:8" x14ac:dyDescent="0.25">
      <c r="A5">
        <v>4</v>
      </c>
      <c r="B5">
        <v>175</v>
      </c>
      <c r="C5">
        <v>173.18</v>
      </c>
      <c r="D5">
        <v>165.88</v>
      </c>
      <c r="E5">
        <f t="shared" si="0"/>
        <v>1.8199999999999932</v>
      </c>
      <c r="F5">
        <f t="shared" si="1"/>
        <v>9.1200000000000045</v>
      </c>
      <c r="G5">
        <f t="shared" si="2"/>
        <v>1.039999999999996</v>
      </c>
      <c r="H5">
        <f t="shared" si="3"/>
        <v>5.2114285714285744</v>
      </c>
    </row>
    <row r="6" spans="1:8" x14ac:dyDescent="0.25">
      <c r="A6">
        <v>5</v>
      </c>
      <c r="B6">
        <v>190</v>
      </c>
      <c r="C6">
        <v>173.36</v>
      </c>
      <c r="D6">
        <v>170.44</v>
      </c>
      <c r="E6">
        <f t="shared" si="0"/>
        <v>16.639999999999986</v>
      </c>
      <c r="F6">
        <f t="shared" si="1"/>
        <v>19.560000000000002</v>
      </c>
      <c r="G6">
        <f t="shared" si="2"/>
        <v>8.7578947368420987</v>
      </c>
      <c r="H6">
        <f t="shared" si="3"/>
        <v>10.294736842105264</v>
      </c>
    </row>
    <row r="7" spans="1:8" x14ac:dyDescent="0.25">
      <c r="A7">
        <v>6</v>
      </c>
      <c r="B7">
        <v>205</v>
      </c>
      <c r="C7">
        <v>175.02</v>
      </c>
      <c r="D7">
        <v>180.22</v>
      </c>
      <c r="E7">
        <f t="shared" si="0"/>
        <v>29.97999999999999</v>
      </c>
      <c r="F7">
        <f t="shared" si="1"/>
        <v>24.78</v>
      </c>
      <c r="G7">
        <f t="shared" si="2"/>
        <v>14.624390243902434</v>
      </c>
      <c r="H7">
        <f t="shared" si="3"/>
        <v>12.087804878048781</v>
      </c>
    </row>
    <row r="8" spans="1:8" x14ac:dyDescent="0.25">
      <c r="A8">
        <v>7</v>
      </c>
      <c r="B8">
        <v>180</v>
      </c>
      <c r="C8">
        <v>178.02</v>
      </c>
      <c r="D8">
        <v>192.61</v>
      </c>
      <c r="E8">
        <f t="shared" si="0"/>
        <v>1.9799999999999898</v>
      </c>
      <c r="F8">
        <f t="shared" si="1"/>
        <v>12.610000000000014</v>
      </c>
      <c r="G8">
        <f t="shared" si="2"/>
        <v>1.0999999999999943</v>
      </c>
      <c r="H8">
        <f t="shared" si="3"/>
        <v>7.0055555555555635</v>
      </c>
    </row>
    <row r="9" spans="1:8" x14ac:dyDescent="0.25">
      <c r="A9">
        <v>8</v>
      </c>
      <c r="B9">
        <v>182</v>
      </c>
      <c r="C9">
        <v>178.22</v>
      </c>
      <c r="D9">
        <v>186.3</v>
      </c>
      <c r="E9">
        <f t="shared" si="0"/>
        <v>3.7800000000000011</v>
      </c>
      <c r="F9">
        <f t="shared" si="1"/>
        <v>4.3000000000000114</v>
      </c>
      <c r="G9">
        <f t="shared" si="2"/>
        <v>2.0769230769230775</v>
      </c>
      <c r="H9">
        <f t="shared" si="3"/>
        <v>2.3626373626373689</v>
      </c>
    </row>
    <row r="10" spans="1:8" x14ac:dyDescent="0.25">
      <c r="G10">
        <f>SUM(G2:G9)</f>
        <v>44.746931927089584</v>
      </c>
      <c r="H10">
        <f>SUM(H2:H9)</f>
        <v>54.0425016344536</v>
      </c>
    </row>
    <row r="11" spans="1:8" x14ac:dyDescent="0.25">
      <c r="D11" s="2" t="s">
        <v>6</v>
      </c>
      <c r="E11" s="2"/>
      <c r="F11" s="2"/>
      <c r="G11">
        <f>G10/A9</f>
        <v>5.593366490886198</v>
      </c>
      <c r="H11">
        <f>H10/A9</f>
        <v>6.7553127043067001</v>
      </c>
    </row>
  </sheetData>
  <mergeCells count="1">
    <mergeCell ref="D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E7E9-34D1-493B-8E1D-10FF16701E24}">
  <dimension ref="B3:D15"/>
  <sheetViews>
    <sheetView workbookViewId="0">
      <selection activeCell="B3" sqref="B3:D15"/>
    </sheetView>
  </sheetViews>
  <sheetFormatPr baseColWidth="10" defaultRowHeight="15" x14ac:dyDescent="0.25"/>
  <sheetData>
    <row r="3" spans="2:4" x14ac:dyDescent="0.25">
      <c r="B3" t="s">
        <v>7</v>
      </c>
      <c r="C3" t="s">
        <v>8</v>
      </c>
      <c r="D3" t="s">
        <v>9</v>
      </c>
    </row>
    <row r="4" spans="2:4" x14ac:dyDescent="0.25">
      <c r="B4">
        <v>1</v>
      </c>
      <c r="C4" t="s">
        <v>10</v>
      </c>
      <c r="D4">
        <v>200</v>
      </c>
    </row>
    <row r="5" spans="2:4" x14ac:dyDescent="0.25">
      <c r="B5">
        <v>2</v>
      </c>
      <c r="C5" t="s">
        <v>11</v>
      </c>
      <c r="D5">
        <v>230</v>
      </c>
    </row>
    <row r="6" spans="2:4" x14ac:dyDescent="0.25">
      <c r="B6">
        <v>3</v>
      </c>
      <c r="C6" t="s">
        <v>12</v>
      </c>
      <c r="D6">
        <v>260</v>
      </c>
    </row>
    <row r="7" spans="2:4" x14ac:dyDescent="0.25">
      <c r="B7">
        <v>4</v>
      </c>
      <c r="C7" t="s">
        <v>13</v>
      </c>
      <c r="D7">
        <v>180</v>
      </c>
    </row>
    <row r="8" spans="2:4" x14ac:dyDescent="0.25">
      <c r="B8">
        <v>5</v>
      </c>
      <c r="C8" t="s">
        <v>14</v>
      </c>
      <c r="D8">
        <v>270</v>
      </c>
    </row>
    <row r="9" spans="2:4" x14ac:dyDescent="0.25">
      <c r="B9">
        <v>6</v>
      </c>
      <c r="C9" t="s">
        <v>15</v>
      </c>
      <c r="D9">
        <v>240</v>
      </c>
    </row>
    <row r="10" spans="2:4" x14ac:dyDescent="0.25">
      <c r="B10">
        <v>7</v>
      </c>
      <c r="C10" t="s">
        <v>16</v>
      </c>
      <c r="D10">
        <v>250</v>
      </c>
    </row>
    <row r="11" spans="2:4" x14ac:dyDescent="0.25">
      <c r="B11">
        <v>8</v>
      </c>
      <c r="C11" t="s">
        <v>17</v>
      </c>
      <c r="D11">
        <v>300</v>
      </c>
    </row>
    <row r="12" spans="2:4" x14ac:dyDescent="0.25">
      <c r="B12">
        <v>9</v>
      </c>
      <c r="C12" t="s">
        <v>18</v>
      </c>
      <c r="D12">
        <v>320</v>
      </c>
    </row>
    <row r="13" spans="2:4" x14ac:dyDescent="0.25">
      <c r="B13">
        <v>10</v>
      </c>
      <c r="C13" t="s">
        <v>19</v>
      </c>
      <c r="D13">
        <v>350</v>
      </c>
    </row>
    <row r="14" spans="2:4" x14ac:dyDescent="0.25">
      <c r="B14">
        <v>11</v>
      </c>
      <c r="C14" t="s">
        <v>20</v>
      </c>
      <c r="D14">
        <v>240</v>
      </c>
    </row>
    <row r="15" spans="2:4" x14ac:dyDescent="0.25">
      <c r="B15">
        <v>12</v>
      </c>
      <c r="C15" t="s">
        <v>21</v>
      </c>
      <c r="D1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MAD</vt:lpstr>
      <vt:lpstr>MSE</vt:lpstr>
      <vt:lpstr>MAPE</vt:lpstr>
      <vt:lpstr>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2022-03-21T15:50:29Z</dcterms:created>
  <dcterms:modified xsi:type="dcterms:W3CDTF">2022-03-21T18:16:31Z</dcterms:modified>
</cp:coreProperties>
</file>