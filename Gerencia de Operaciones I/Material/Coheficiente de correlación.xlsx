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Gerencia de Operaciones I/Material/"/>
    </mc:Choice>
  </mc:AlternateContent>
  <xr:revisionPtr revIDLastSave="133" documentId="8_{BEB01071-7342-4193-91F3-648DE92EDCEC}" xr6:coauthVersionLast="47" xr6:coauthVersionMax="47" xr10:uidLastSave="{5B684524-6EFA-41B0-B9E4-CF69856B52CC}"/>
  <bookViews>
    <workbookView xWindow="-120" yWindow="-120" windowWidth="20730" windowHeight="11310" xr2:uid="{C069ECA2-B5E2-4A1A-A579-DACE502E08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4" i="1" l="1"/>
  <c r="D23" i="1"/>
  <c r="D22" i="1"/>
  <c r="G3" i="1"/>
  <c r="G2" i="1"/>
  <c r="D5" i="1"/>
  <c r="D4" i="1"/>
  <c r="D3" i="1"/>
  <c r="F11" i="1" s="1"/>
  <c r="I11" i="1" s="1"/>
  <c r="D2" i="1"/>
  <c r="E8" i="1" s="1"/>
  <c r="F17" i="1" l="1"/>
  <c r="I17" i="1" s="1"/>
  <c r="F13" i="1"/>
  <c r="I13" i="1" s="1"/>
  <c r="F9" i="1"/>
  <c r="I9" i="1" s="1"/>
  <c r="E15" i="1"/>
  <c r="H15" i="1" s="1"/>
  <c r="E13" i="1"/>
  <c r="H13" i="1" s="1"/>
  <c r="E18" i="1"/>
  <c r="E9" i="1"/>
  <c r="E17" i="1"/>
  <c r="H17" i="1" s="1"/>
  <c r="E11" i="1"/>
  <c r="H11" i="1" s="1"/>
  <c r="E19" i="1"/>
  <c r="H19" i="1" s="1"/>
  <c r="E14" i="1"/>
  <c r="H14" i="1" s="1"/>
  <c r="E10" i="1"/>
  <c r="F18" i="1"/>
  <c r="I18" i="1" s="1"/>
  <c r="F14" i="1"/>
  <c r="I14" i="1" s="1"/>
  <c r="F10" i="1"/>
  <c r="I10" i="1" s="1"/>
  <c r="F16" i="1"/>
  <c r="I16" i="1" s="1"/>
  <c r="F12" i="1"/>
  <c r="I12" i="1" s="1"/>
  <c r="F19" i="1"/>
  <c r="I19" i="1" s="1"/>
  <c r="F15" i="1"/>
  <c r="I15" i="1" s="1"/>
  <c r="E16" i="1"/>
  <c r="E12" i="1"/>
  <c r="G12" i="1" s="1"/>
  <c r="F8" i="1"/>
  <c r="H8" i="1"/>
  <c r="G11" i="1" l="1"/>
  <c r="G16" i="1"/>
  <c r="G13" i="1"/>
  <c r="G15" i="1"/>
  <c r="G10" i="1"/>
  <c r="G17" i="1"/>
  <c r="G18" i="1"/>
  <c r="H9" i="1"/>
  <c r="G9" i="1"/>
  <c r="G19" i="1"/>
  <c r="H18" i="1"/>
  <c r="H12" i="1"/>
  <c r="H10" i="1"/>
  <c r="I8" i="1"/>
  <c r="I20" i="1" s="1"/>
  <c r="G8" i="1"/>
  <c r="G14" i="1"/>
  <c r="H16" i="1"/>
  <c r="G20" i="1" l="1"/>
  <c r="H20" i="1"/>
  <c r="I23" i="1" l="1"/>
</calcChain>
</file>

<file path=xl/sharedStrings.xml><?xml version="1.0" encoding="utf-8"?>
<sst xmlns="http://schemas.openxmlformats.org/spreadsheetml/2006/main" count="18" uniqueCount="18">
  <si>
    <t>Meda Aritmética (X)</t>
  </si>
  <si>
    <t>Meda Aritmética (Y)</t>
  </si>
  <si>
    <t>Sumatorias</t>
  </si>
  <si>
    <t>Covarianza</t>
  </si>
  <si>
    <t>Varianza (X)</t>
  </si>
  <si>
    <t>Varianza (Y)</t>
  </si>
  <si>
    <t>Correlación</t>
  </si>
  <si>
    <t xml:space="preserve"> (X)</t>
  </si>
  <si>
    <t xml:space="preserve"> (Y)</t>
  </si>
  <si>
    <t>Pronóstico Y</t>
  </si>
  <si>
    <t>Pronóstico X</t>
  </si>
  <si>
    <t>X</t>
  </si>
  <si>
    <t>Y</t>
  </si>
  <si>
    <t xml:space="preserve">            </t>
  </si>
  <si>
    <t xml:space="preserve">    </t>
  </si>
  <si>
    <t xml:space="preserve"> </t>
  </si>
  <si>
    <t xml:space="preserve">       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</si>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</sst>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70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2" fontId="0" fillId="2" borderId="4" xfId="0" applyNumberFormat="1" applyFill="1" applyBorder="1" applyAlignment="1">
      <alignment horizontal="center"/>
    </xf>
    <xf numFmtId="165" fontId="0" fillId="2" borderId="0" xfId="0" applyNumberFormat="1" applyFill="1"/>
    <xf numFmtId="2" fontId="0" fillId="2" borderId="6" xfId="0" applyNumberForma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0" fillId="2" borderId="0" xfId="0" applyNumberFormat="1" applyFill="1"/>
    <xf numFmtId="170" fontId="2" fillId="2" borderId="10" xfId="0" applyNumberFormat="1" applyFont="1" applyFill="1" applyBorder="1"/>
    <xf numFmtId="170" fontId="0" fillId="2" borderId="0" xfId="0" applyNumberFormat="1" applyFill="1"/>
  </cellXfs>
  <cellStyles count="1">
    <cellStyle name="Normal" xfId="0" builtinId="0"/>
  </cellStyles>
  <dxfs count="11">
    <dxf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180975</xdr:colOff>
      <xdr:row>6</xdr:row>
      <xdr:rowOff>33337</xdr:rowOff>
    </xdr:from>
    <xdr:ext cx="36272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65B5E0F9-2D7C-462C-A18B-6FF29C5AA606}"/>
                </a:ext>
              </a:extLst>
            </xdr:cNvPr>
            <xdr:cNvSpPr txBox="1"/>
          </xdr:nvSpPr>
          <xdr:spPr>
            <a:xfrm>
              <a:off x="3752850" y="1176337"/>
              <a:ext cx="36272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NI" sz="1100" b="1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𝒙</m:t>
                    </m:r>
                    <m:r>
                      <a:rPr lang="es-NI" sz="1100" b="1" i="0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s-NI" sz="1100" b="1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NI" sz="1100" b="1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</m:acc>
                  </m:oMath>
                </m:oMathPara>
              </a14:m>
              <a:endParaRPr lang="es-NI" sz="1100" b="1">
                <a:solidFill>
                  <a:schemeClr val="bg1"/>
                </a:solidFill>
              </a:endParaRPr>
            </a:p>
          </xdr:txBody>
        </xdr:sp>
      </mc:Choice>
      <mc:Fallback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65B5E0F9-2D7C-462C-A18B-6FF29C5AA606}"/>
                </a:ext>
              </a:extLst>
            </xdr:cNvPr>
            <xdr:cNvSpPr txBox="1"/>
          </xdr:nvSpPr>
          <xdr:spPr>
            <a:xfrm>
              <a:off x="3752850" y="1176337"/>
              <a:ext cx="36272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NI" sz="11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𝒙−𝒙 ̅</a:t>
              </a:r>
              <a:endParaRPr lang="es-NI" sz="1100" b="1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5</xdr:col>
      <xdr:colOff>219075</xdr:colOff>
      <xdr:row>6</xdr:row>
      <xdr:rowOff>4762</xdr:rowOff>
    </xdr:from>
    <xdr:ext cx="36862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2549F458-BA71-422C-97F1-BC28F93507B3}"/>
                </a:ext>
              </a:extLst>
            </xdr:cNvPr>
            <xdr:cNvSpPr txBox="1"/>
          </xdr:nvSpPr>
          <xdr:spPr>
            <a:xfrm>
              <a:off x="4591050" y="1147762"/>
              <a:ext cx="36862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NI" sz="1100" b="1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𝒚</m:t>
                    </m:r>
                    <m:r>
                      <a:rPr lang="es-NI" sz="1100" b="1" i="0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s-NI" sz="1100" b="1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NI" sz="1100" b="1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</m:acc>
                  </m:oMath>
                </m:oMathPara>
              </a14:m>
              <a:endParaRPr lang="es-NI" sz="1100" b="1">
                <a:solidFill>
                  <a:schemeClr val="bg1"/>
                </a:solidFill>
              </a:endParaRPr>
            </a:p>
          </xdr:txBody>
        </xdr:sp>
      </mc:Choice>
      <mc:Fallback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2549F458-BA71-422C-97F1-BC28F93507B3}"/>
                </a:ext>
              </a:extLst>
            </xdr:cNvPr>
            <xdr:cNvSpPr txBox="1"/>
          </xdr:nvSpPr>
          <xdr:spPr>
            <a:xfrm>
              <a:off x="4591050" y="1147762"/>
              <a:ext cx="36862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NI" sz="11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𝒚−𝒚 ̅</a:t>
              </a:r>
              <a:endParaRPr lang="es-NI" sz="1100" b="1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6</xdr:col>
      <xdr:colOff>28575</xdr:colOff>
      <xdr:row>6</xdr:row>
      <xdr:rowOff>23812</xdr:rowOff>
    </xdr:from>
    <xdr:ext cx="971420" cy="17511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FD64F1B8-9C27-465C-AC4B-656E4D59C8C7}"/>
                </a:ext>
              </a:extLst>
            </xdr:cNvPr>
            <xdr:cNvSpPr txBox="1"/>
          </xdr:nvSpPr>
          <xdr:spPr>
            <a:xfrm>
              <a:off x="5362575" y="1166812"/>
              <a:ext cx="971420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s-NI" sz="1100" b="1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NI" sz="1100" b="1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𝑿</m:t>
                        </m:r>
                        <m:r>
                          <a:rPr lang="es-NI" sz="11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s-NI" sz="1100" b="1" i="1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NI" sz="1100" b="1" i="1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  <m:t>𝑿</m:t>
                            </m:r>
                          </m:e>
                        </m:acc>
                      </m:e>
                    </m:d>
                    <m:d>
                      <m:dPr>
                        <m:ctrlPr>
                          <a:rPr lang="es-NI" sz="1100" b="1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NI" sz="1100" b="1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𝒚</m:t>
                        </m:r>
                        <m:r>
                          <a:rPr lang="es-NI" sz="11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s-NI" sz="1100" b="1" i="1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NI" sz="1100" b="1" i="1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  <m:t>𝒀</m:t>
                            </m:r>
                          </m:e>
                        </m:acc>
                      </m:e>
                    </m:d>
                  </m:oMath>
                </m:oMathPara>
              </a14:m>
              <a:endParaRPr lang="es-NI" sz="1100" b="1">
                <a:solidFill>
                  <a:schemeClr val="bg1"/>
                </a:solidFill>
              </a:endParaRPr>
            </a:p>
          </xdr:txBody>
        </xdr:sp>
      </mc:Choice>
      <mc:Fallback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FD64F1B8-9C27-465C-AC4B-656E4D59C8C7}"/>
                </a:ext>
              </a:extLst>
            </xdr:cNvPr>
            <xdr:cNvSpPr txBox="1"/>
          </xdr:nvSpPr>
          <xdr:spPr>
            <a:xfrm>
              <a:off x="5362575" y="1166812"/>
              <a:ext cx="971420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NI" sz="11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(𝑿−𝑿 ̅ )(𝒚−𝒀 ̅ )</a:t>
              </a:r>
              <a:endParaRPr lang="es-NI" sz="1100" b="1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7</xdr:col>
      <xdr:colOff>114300</xdr:colOff>
      <xdr:row>6</xdr:row>
      <xdr:rowOff>23812</xdr:rowOff>
    </xdr:from>
    <xdr:ext cx="547266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6" name="CuadroTexto 35">
              <a:extLst>
                <a:ext uri="{FF2B5EF4-FFF2-40B4-BE49-F238E27FC236}">
                  <a16:creationId xmlns:a16="http://schemas.microsoft.com/office/drawing/2014/main" id="{EB19C9DB-B4E7-4FA5-90BB-5BFA514EB325}"/>
                </a:ext>
              </a:extLst>
            </xdr:cNvPr>
            <xdr:cNvSpPr txBox="1"/>
          </xdr:nvSpPr>
          <xdr:spPr>
            <a:xfrm>
              <a:off x="6705600" y="1166812"/>
              <a:ext cx="547266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NI" sz="1100" b="1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s-NI" sz="1100" b="1" i="1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NI" sz="1100" b="1" i="1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  <m:t>𝒙</m:t>
                            </m:r>
                            <m:r>
                              <a:rPr lang="es-NI" sz="1100" b="1" i="0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  <m:t>−</m:t>
                            </m:r>
                            <m:acc>
                              <m:accPr>
                                <m:chr m:val="̅"/>
                                <m:ctrlPr>
                                  <a:rPr lang="es-NI" sz="1100" b="1" i="1">
                                    <a:solidFill>
                                      <a:schemeClr val="bg1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s-NI" sz="1100" b="1" i="1">
                                    <a:solidFill>
                                      <a:schemeClr val="bg1"/>
                                    </a:solidFill>
                                    <a:latin typeface="Cambria Math" panose="02040503050406030204" pitchFamily="18" charset="0"/>
                                  </a:rPr>
                                  <m:t>𝒙</m:t>
                                </m:r>
                              </m:e>
                            </m:acc>
                          </m:e>
                        </m:d>
                      </m:e>
                      <m:sup>
                        <m:r>
                          <a:rPr lang="es-NI" sz="11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p>
                  </m:oMath>
                </m:oMathPara>
              </a14:m>
              <a:endParaRPr lang="es-NI" sz="1100" b="1">
                <a:solidFill>
                  <a:schemeClr val="bg1"/>
                </a:solidFill>
              </a:endParaRPr>
            </a:p>
          </xdr:txBody>
        </xdr:sp>
      </mc:Choice>
      <mc:Fallback>
        <xdr:sp macro="" textlink="">
          <xdr:nvSpPr>
            <xdr:cNvPr id="36" name="CuadroTexto 35">
              <a:extLst>
                <a:ext uri="{FF2B5EF4-FFF2-40B4-BE49-F238E27FC236}">
                  <a16:creationId xmlns:a16="http://schemas.microsoft.com/office/drawing/2014/main" id="{EB19C9DB-B4E7-4FA5-90BB-5BFA514EB325}"/>
                </a:ext>
              </a:extLst>
            </xdr:cNvPr>
            <xdr:cNvSpPr txBox="1"/>
          </xdr:nvSpPr>
          <xdr:spPr>
            <a:xfrm>
              <a:off x="6705600" y="1166812"/>
              <a:ext cx="547266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NI" sz="11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(𝒙−𝒙 ̅ )^𝟐</a:t>
              </a:r>
              <a:endParaRPr lang="es-NI" sz="1100" b="1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8</xdr:col>
      <xdr:colOff>66675</xdr:colOff>
      <xdr:row>6</xdr:row>
      <xdr:rowOff>23812</xdr:rowOff>
    </xdr:from>
    <xdr:ext cx="558358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7" name="CuadroTexto 36">
              <a:extLst>
                <a:ext uri="{FF2B5EF4-FFF2-40B4-BE49-F238E27FC236}">
                  <a16:creationId xmlns:a16="http://schemas.microsoft.com/office/drawing/2014/main" id="{BC99E4E9-F69D-452B-A1F0-2F1796B80395}"/>
                </a:ext>
              </a:extLst>
            </xdr:cNvPr>
            <xdr:cNvSpPr txBox="1"/>
          </xdr:nvSpPr>
          <xdr:spPr>
            <a:xfrm>
              <a:off x="7458075" y="1166812"/>
              <a:ext cx="558358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NI" sz="1100" b="1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s-NI" sz="1100" b="1" i="1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NI" sz="1100" b="1" i="1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  <m:t>𝒚</m:t>
                            </m:r>
                            <m:r>
                              <a:rPr lang="es-NI" sz="1100" b="1" i="0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  <m:t>−</m:t>
                            </m:r>
                            <m:acc>
                              <m:accPr>
                                <m:chr m:val="̅"/>
                                <m:ctrlPr>
                                  <a:rPr lang="es-NI" sz="1100" b="1" i="1">
                                    <a:solidFill>
                                      <a:schemeClr val="bg1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s-NI" sz="1100" b="1" i="1">
                                    <a:solidFill>
                                      <a:schemeClr val="bg1"/>
                                    </a:solidFill>
                                    <a:latin typeface="Cambria Math" panose="02040503050406030204" pitchFamily="18" charset="0"/>
                                  </a:rPr>
                                  <m:t>𝒀</m:t>
                                </m:r>
                              </m:e>
                            </m:acc>
                          </m:e>
                        </m:d>
                      </m:e>
                      <m:sup>
                        <m:r>
                          <a:rPr lang="es-NI" sz="11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p>
                  </m:oMath>
                </m:oMathPara>
              </a14:m>
              <a:endParaRPr lang="es-NI" sz="1100" b="1">
                <a:solidFill>
                  <a:schemeClr val="bg1"/>
                </a:solidFill>
              </a:endParaRPr>
            </a:p>
          </xdr:txBody>
        </xdr:sp>
      </mc:Choice>
      <mc:Fallback>
        <xdr:sp macro="" textlink="">
          <xdr:nvSpPr>
            <xdr:cNvPr id="37" name="CuadroTexto 36">
              <a:extLst>
                <a:ext uri="{FF2B5EF4-FFF2-40B4-BE49-F238E27FC236}">
                  <a16:creationId xmlns:a16="http://schemas.microsoft.com/office/drawing/2014/main" id="{BC99E4E9-F69D-452B-A1F0-2F1796B80395}"/>
                </a:ext>
              </a:extLst>
            </xdr:cNvPr>
            <xdr:cNvSpPr txBox="1"/>
          </xdr:nvSpPr>
          <xdr:spPr>
            <a:xfrm>
              <a:off x="7458075" y="1166812"/>
              <a:ext cx="558358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NI" sz="11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(𝒚−𝒀 ̅ )^𝟐</a:t>
              </a:r>
              <a:endParaRPr lang="es-NI" sz="1100" b="1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2</xdr:col>
      <xdr:colOff>952500</xdr:colOff>
      <xdr:row>20</xdr:row>
      <xdr:rowOff>185737</xdr:rowOff>
    </xdr:from>
    <xdr:ext cx="173766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F08E5FCD-4D0F-C256-C2D1-EFD4AB805B38}"/>
                </a:ext>
              </a:extLst>
            </xdr:cNvPr>
            <xdr:cNvSpPr txBox="1"/>
          </xdr:nvSpPr>
          <xdr:spPr>
            <a:xfrm>
              <a:off x="2476500" y="2890837"/>
              <a:ext cx="17376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NI" sz="1100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NI" sz="110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s-NI" sz="1100" i="0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s-NI" sz="1100"/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F08E5FCD-4D0F-C256-C2D1-EFD4AB805B38}"/>
                </a:ext>
              </a:extLst>
            </xdr:cNvPr>
            <xdr:cNvSpPr txBox="1"/>
          </xdr:nvSpPr>
          <xdr:spPr>
            <a:xfrm>
              <a:off x="2476500" y="2890837"/>
              <a:ext cx="17376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NI" sz="1100" i="0">
                  <a:latin typeface="Cambria Math" panose="02040503050406030204" pitchFamily="18" charset="0"/>
                </a:rPr>
                <a:t>𝛽</a:t>
              </a:r>
              <a:r>
                <a:rPr lang="es-NI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s-NI" sz="1100" i="0">
                  <a:latin typeface="Cambria Math" panose="02040503050406030204" pitchFamily="18" charset="0"/>
                </a:rPr>
                <a:t>0</a:t>
              </a:r>
              <a:endParaRPr lang="es-NI" sz="1100"/>
            </a:p>
          </xdr:txBody>
        </xdr:sp>
      </mc:Fallback>
    </mc:AlternateContent>
    <xdr:clientData/>
  </xdr:oneCellAnchor>
  <xdr:oneCellAnchor>
    <xdr:from>
      <xdr:col>2</xdr:col>
      <xdr:colOff>962025</xdr:colOff>
      <xdr:row>22</xdr:row>
      <xdr:rowOff>14287</xdr:rowOff>
    </xdr:from>
    <xdr:ext cx="170496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B9D531E6-C05B-BF27-305E-EB8217BA234C}"/>
                </a:ext>
              </a:extLst>
            </xdr:cNvPr>
            <xdr:cNvSpPr txBox="1"/>
          </xdr:nvSpPr>
          <xdr:spPr>
            <a:xfrm>
              <a:off x="2486025" y="3100387"/>
              <a:ext cx="17049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NI" sz="1100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NI" sz="110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s-NI" sz="110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s-NI" sz="1100"/>
            </a:p>
          </xdr:txBody>
        </xdr:sp>
      </mc:Choice>
      <mc:Fallback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B9D531E6-C05B-BF27-305E-EB8217BA234C}"/>
                </a:ext>
              </a:extLst>
            </xdr:cNvPr>
            <xdr:cNvSpPr txBox="1"/>
          </xdr:nvSpPr>
          <xdr:spPr>
            <a:xfrm>
              <a:off x="2486025" y="3100387"/>
              <a:ext cx="17049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NI" sz="1100" i="0">
                  <a:latin typeface="Cambria Math" panose="02040503050406030204" pitchFamily="18" charset="0"/>
                </a:rPr>
                <a:t>𝛽</a:t>
              </a:r>
              <a:r>
                <a:rPr lang="es-NI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s-NI" sz="1100" i="0">
                  <a:latin typeface="Cambria Math" panose="02040503050406030204" pitchFamily="18" charset="0"/>
                </a:rPr>
                <a:t>1</a:t>
              </a:r>
              <a:endParaRPr lang="es-NI" sz="1100"/>
            </a:p>
          </xdr:txBody>
        </xdr:sp>
      </mc:Fallback>
    </mc:AlternateContent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F5195-2F48-4627-9CB3-C4F4A70F7F24}" name="Tabla1" displayName="Tabla1" ref="C7:I20" totalsRowShown="0" headerRowDxfId="1" dataDxfId="2" headerRowBorderDxfId="9" tableBorderDxfId="10">
  <autoFilter ref="C7:I20" xr:uid="{A3CF5195-2F48-4627-9CB3-C4F4A70F7F24}"/>
  <tableColumns count="7">
    <tableColumn id="1" xr3:uid="{ADE34D78-2006-4327-9C03-2B693A531F4E}" name=" (X)" dataDxfId="8"/>
    <tableColumn id="2" xr3:uid="{F08BAC44-8371-45F9-8581-A879C8110A72}" name=" (Y)" dataDxfId="7"/>
    <tableColumn id="3" xr3:uid="{35E208C9-690A-4431-B1E2-B2528D8C3F2D}" name="            " dataDxfId="6"/>
    <tableColumn id="4" xr3:uid="{B080A205-8C04-4AC5-AD5D-40E24BC1CC60}" name="    " dataDxfId="5"/>
    <tableColumn id="5" xr3:uid="{02E49D46-DA71-46A2-8B0D-BBFFF48B5575}" name=" " dataDxfId="0">
      <calculatedColumnFormula>E8*F8</calculatedColumnFormula>
    </tableColumn>
    <tableColumn id="6" xr3:uid="{412AAF45-3761-499B-8444-1C89E31A102A}" name="       " dataDxfId="4"/>
    <tableColumn id="7" xr3:uid="{B7F2836F-FDFB-465C-8D50-F128C1462A25}" name="      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CA8CF-475F-4848-A2D5-A02F8EF12A39}">
  <dimension ref="B2:I24"/>
  <sheetViews>
    <sheetView tabSelected="1" workbookViewId="0">
      <selection activeCell="I25" sqref="I25"/>
    </sheetView>
  </sheetViews>
  <sheetFormatPr baseColWidth="10" defaultRowHeight="15" x14ac:dyDescent="0.25"/>
  <cols>
    <col min="3" max="3" width="18.85546875" bestFit="1" customWidth="1"/>
    <col min="4" max="4" width="11.85546875" bestFit="1" customWidth="1"/>
    <col min="5" max="5" width="12" bestFit="1" customWidth="1"/>
    <col min="6" max="6" width="14.42578125" bestFit="1" customWidth="1"/>
    <col min="7" max="7" width="18.85546875" customWidth="1"/>
    <col min="8" max="9" width="12" customWidth="1"/>
  </cols>
  <sheetData>
    <row r="2" spans="3:9" x14ac:dyDescent="0.25">
      <c r="C2" t="s">
        <v>0</v>
      </c>
      <c r="D2" s="12">
        <f>AVERAGE(C8:C19)</f>
        <v>78</v>
      </c>
      <c r="F2" t="s">
        <v>3</v>
      </c>
      <c r="G2" s="12">
        <f>G20/(COUNT(G8:G19)-1)</f>
        <v>237.45454545454547</v>
      </c>
    </row>
    <row r="3" spans="3:9" x14ac:dyDescent="0.25">
      <c r="C3" t="s">
        <v>1</v>
      </c>
      <c r="D3" s="12">
        <f>AVERAGE(D8:D19)</f>
        <v>302.66666666666669</v>
      </c>
      <c r="F3" t="s">
        <v>6</v>
      </c>
      <c r="G3" s="12">
        <f>G2/(D4*D5)</f>
        <v>0.95399415792929965</v>
      </c>
    </row>
    <row r="4" spans="3:9" x14ac:dyDescent="0.25">
      <c r="C4" t="s">
        <v>4</v>
      </c>
      <c r="D4" s="12">
        <f>SQRT(H20/(COUNT(C8:C19)-1))</f>
        <v>8.2682305461105976</v>
      </c>
    </row>
    <row r="5" spans="3:9" x14ac:dyDescent="0.25">
      <c r="C5" t="s">
        <v>5</v>
      </c>
      <c r="D5" s="12">
        <f>SQRT(I20/(COUNT(D8:D19)-1))</f>
        <v>30.103860620233149</v>
      </c>
    </row>
    <row r="7" spans="3:9" ht="15.75" thickBot="1" x14ac:dyDescent="0.3">
      <c r="C7" s="9" t="s">
        <v>7</v>
      </c>
      <c r="D7" s="10" t="s">
        <v>8</v>
      </c>
      <c r="E7" s="10" t="s">
        <v>13</v>
      </c>
      <c r="F7" s="10" t="s">
        <v>14</v>
      </c>
      <c r="G7" s="10" t="s">
        <v>15</v>
      </c>
      <c r="H7" s="10" t="s">
        <v>16</v>
      </c>
      <c r="I7" s="11" t="s">
        <v>17</v>
      </c>
    </row>
    <row r="8" spans="3:9" x14ac:dyDescent="0.25">
      <c r="C8" s="3">
        <v>80</v>
      </c>
      <c r="D8" s="4">
        <v>300</v>
      </c>
      <c r="E8" s="6">
        <f>(C8-$D$2)</f>
        <v>2</v>
      </c>
      <c r="F8" s="6">
        <f t="shared" ref="F8" si="0">(D8-$D$3)</f>
        <v>-2.6666666666666856</v>
      </c>
      <c r="G8" s="6">
        <f>E8*F8</f>
        <v>-5.3333333333333712</v>
      </c>
      <c r="H8" s="6">
        <f>E8*E8</f>
        <v>4</v>
      </c>
      <c r="I8" s="8">
        <f>F8*F8</f>
        <v>7.111111111111212</v>
      </c>
    </row>
    <row r="9" spans="3:9" x14ac:dyDescent="0.25">
      <c r="C9" s="2">
        <v>79</v>
      </c>
      <c r="D9" s="1">
        <v>302</v>
      </c>
      <c r="E9" s="6">
        <f t="shared" ref="E9:E18" si="1">(C9-$D$2)</f>
        <v>1</v>
      </c>
      <c r="F9" s="6">
        <f t="shared" ref="F9:F18" si="2">(D9-$D$3)</f>
        <v>-0.66666666666668561</v>
      </c>
      <c r="G9" s="6">
        <f t="shared" ref="G9:G18" si="3">E9*F9</f>
        <v>-0.66666666666668561</v>
      </c>
      <c r="H9" s="6">
        <f t="shared" ref="H9:H18" si="4">E9*E9</f>
        <v>1</v>
      </c>
      <c r="I9" s="8">
        <f t="shared" ref="I9:I18" si="5">F9*F9</f>
        <v>0.44444444444446973</v>
      </c>
    </row>
    <row r="10" spans="3:9" x14ac:dyDescent="0.25">
      <c r="C10" s="2">
        <v>83</v>
      </c>
      <c r="D10" s="1">
        <v>315</v>
      </c>
      <c r="E10" s="6">
        <f t="shared" si="1"/>
        <v>5</v>
      </c>
      <c r="F10" s="6">
        <f t="shared" si="2"/>
        <v>12.333333333333314</v>
      </c>
      <c r="G10" s="6">
        <f t="shared" si="3"/>
        <v>61.666666666666572</v>
      </c>
      <c r="H10" s="6">
        <f t="shared" si="4"/>
        <v>25</v>
      </c>
      <c r="I10" s="8">
        <f t="shared" si="5"/>
        <v>152.11111111111063</v>
      </c>
    </row>
    <row r="11" spans="3:9" x14ac:dyDescent="0.25">
      <c r="C11" s="2">
        <v>84</v>
      </c>
      <c r="D11" s="1">
        <v>330</v>
      </c>
      <c r="E11" s="6">
        <f t="shared" si="1"/>
        <v>6</v>
      </c>
      <c r="F11" s="6">
        <f t="shared" si="2"/>
        <v>27.333333333333314</v>
      </c>
      <c r="G11" s="6">
        <f t="shared" si="3"/>
        <v>163.99999999999989</v>
      </c>
      <c r="H11" s="6">
        <f t="shared" si="4"/>
        <v>36</v>
      </c>
      <c r="I11" s="8">
        <f t="shared" si="5"/>
        <v>747.11111111111006</v>
      </c>
    </row>
    <row r="12" spans="3:9" x14ac:dyDescent="0.25">
      <c r="C12" s="2">
        <v>78</v>
      </c>
      <c r="D12" s="1">
        <v>300</v>
      </c>
      <c r="E12" s="6">
        <f t="shared" si="1"/>
        <v>0</v>
      </c>
      <c r="F12" s="6">
        <f t="shared" si="2"/>
        <v>-2.6666666666666856</v>
      </c>
      <c r="G12" s="6">
        <f t="shared" si="3"/>
        <v>0</v>
      </c>
      <c r="H12" s="6">
        <f t="shared" si="4"/>
        <v>0</v>
      </c>
      <c r="I12" s="8">
        <f t="shared" si="5"/>
        <v>7.111111111111212</v>
      </c>
    </row>
    <row r="13" spans="3:9" x14ac:dyDescent="0.25">
      <c r="C13" s="2">
        <v>60</v>
      </c>
      <c r="D13" s="1">
        <v>250</v>
      </c>
      <c r="E13" s="6">
        <f t="shared" si="1"/>
        <v>-18</v>
      </c>
      <c r="F13" s="6">
        <f t="shared" si="2"/>
        <v>-52.666666666666686</v>
      </c>
      <c r="G13" s="6">
        <f t="shared" si="3"/>
        <v>948.00000000000034</v>
      </c>
      <c r="H13" s="6">
        <f t="shared" si="4"/>
        <v>324</v>
      </c>
      <c r="I13" s="8">
        <f t="shared" si="5"/>
        <v>2773.7777777777796</v>
      </c>
    </row>
    <row r="14" spans="3:9" x14ac:dyDescent="0.25">
      <c r="C14" s="2">
        <v>82</v>
      </c>
      <c r="D14" s="1">
        <v>300</v>
      </c>
      <c r="E14" s="6">
        <f t="shared" si="1"/>
        <v>4</v>
      </c>
      <c r="F14" s="6">
        <f t="shared" si="2"/>
        <v>-2.6666666666666856</v>
      </c>
      <c r="G14" s="6">
        <f t="shared" si="3"/>
        <v>-10.666666666666742</v>
      </c>
      <c r="H14" s="6">
        <f t="shared" si="4"/>
        <v>16</v>
      </c>
      <c r="I14" s="8">
        <f t="shared" si="5"/>
        <v>7.111111111111212</v>
      </c>
    </row>
    <row r="15" spans="3:9" x14ac:dyDescent="0.25">
      <c r="C15" s="2">
        <v>85</v>
      </c>
      <c r="D15" s="1">
        <v>340</v>
      </c>
      <c r="E15" s="6">
        <f t="shared" si="1"/>
        <v>7</v>
      </c>
      <c r="F15" s="6">
        <f t="shared" si="2"/>
        <v>37.333333333333314</v>
      </c>
      <c r="G15" s="6">
        <f t="shared" si="3"/>
        <v>261.3333333333332</v>
      </c>
      <c r="H15" s="6">
        <f t="shared" si="4"/>
        <v>49</v>
      </c>
      <c r="I15" s="8">
        <f t="shared" si="5"/>
        <v>1393.7777777777765</v>
      </c>
    </row>
    <row r="16" spans="3:9" x14ac:dyDescent="0.25">
      <c r="C16" s="2">
        <v>79</v>
      </c>
      <c r="D16" s="1">
        <v>315</v>
      </c>
      <c r="E16" s="6">
        <f t="shared" si="1"/>
        <v>1</v>
      </c>
      <c r="F16" s="6">
        <f t="shared" si="2"/>
        <v>12.333333333333314</v>
      </c>
      <c r="G16" s="6">
        <f t="shared" si="3"/>
        <v>12.333333333333314</v>
      </c>
      <c r="H16" s="6">
        <f t="shared" si="4"/>
        <v>1</v>
      </c>
      <c r="I16" s="8">
        <f t="shared" si="5"/>
        <v>152.11111111111063</v>
      </c>
    </row>
    <row r="17" spans="2:9" x14ac:dyDescent="0.25">
      <c r="C17" s="2">
        <v>84</v>
      </c>
      <c r="D17" s="1">
        <v>330</v>
      </c>
      <c r="E17" s="6">
        <f t="shared" si="1"/>
        <v>6</v>
      </c>
      <c r="F17" s="6">
        <f t="shared" si="2"/>
        <v>27.333333333333314</v>
      </c>
      <c r="G17" s="6">
        <f t="shared" si="3"/>
        <v>163.99999999999989</v>
      </c>
      <c r="H17" s="6">
        <f t="shared" si="4"/>
        <v>36</v>
      </c>
      <c r="I17" s="8">
        <f t="shared" si="5"/>
        <v>747.11111111111006</v>
      </c>
    </row>
    <row r="18" spans="2:9" x14ac:dyDescent="0.25">
      <c r="C18" s="2">
        <v>80</v>
      </c>
      <c r="D18" s="1">
        <v>310</v>
      </c>
      <c r="E18" s="6">
        <f t="shared" si="1"/>
        <v>2</v>
      </c>
      <c r="F18" s="6">
        <f t="shared" si="2"/>
        <v>7.3333333333333144</v>
      </c>
      <c r="G18" s="6">
        <f t="shared" si="3"/>
        <v>14.666666666666629</v>
      </c>
      <c r="H18" s="6">
        <f t="shared" si="4"/>
        <v>4</v>
      </c>
      <c r="I18" s="8">
        <f t="shared" si="5"/>
        <v>53.777777777777501</v>
      </c>
    </row>
    <row r="19" spans="2:9" ht="15.75" thickBot="1" x14ac:dyDescent="0.3">
      <c r="C19" s="2">
        <v>62</v>
      </c>
      <c r="D19" s="1">
        <v>240</v>
      </c>
      <c r="E19" s="6">
        <f>(C19-$D$2)</f>
        <v>-16</v>
      </c>
      <c r="F19" s="6">
        <f>(D19-$D$3)</f>
        <v>-62.666666666666686</v>
      </c>
      <c r="G19" s="6">
        <f>E19*F19</f>
        <v>1002.666666666667</v>
      </c>
      <c r="H19" s="6">
        <f>E19*E19</f>
        <v>256</v>
      </c>
      <c r="I19" s="8">
        <f>F19*F19</f>
        <v>3927.1111111111136</v>
      </c>
    </row>
    <row r="20" spans="2:9" ht="15.75" thickBot="1" x14ac:dyDescent="0.3">
      <c r="B20" s="5" t="s">
        <v>2</v>
      </c>
      <c r="C20" s="13"/>
      <c r="D20" s="13"/>
      <c r="E20" s="13"/>
      <c r="F20" s="13"/>
      <c r="G20" s="13">
        <f>SUM(G8:G19)</f>
        <v>2612</v>
      </c>
      <c r="H20" s="13">
        <f>SUM(H8:H19)</f>
        <v>752</v>
      </c>
      <c r="I20" s="13">
        <f>SUM(I8:I19)</f>
        <v>9968.6666666666661</v>
      </c>
    </row>
    <row r="22" spans="2:9" x14ac:dyDescent="0.25">
      <c r="D22" s="7">
        <f>D3-D23*D2</f>
        <v>31.741134751773075</v>
      </c>
      <c r="H22" t="s">
        <v>11</v>
      </c>
      <c r="I22" t="s">
        <v>12</v>
      </c>
    </row>
    <row r="23" spans="2:9" x14ac:dyDescent="0.25">
      <c r="D23" s="7">
        <f>G20/H20</f>
        <v>3.4734042553191489</v>
      </c>
      <c r="G23" t="s">
        <v>9</v>
      </c>
      <c r="I23" s="14">
        <f>D22+D23*H23</f>
        <v>31.741134751773075</v>
      </c>
    </row>
    <row r="24" spans="2:9" x14ac:dyDescent="0.25">
      <c r="G24" t="s">
        <v>10</v>
      </c>
      <c r="H24" s="14">
        <f>(I24-D22)/D23</f>
        <v>-9.1383358856559536</v>
      </c>
    </row>
  </sheetData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Guillermo Aguirre</dc:creator>
  <cp:lastModifiedBy>Guillermo Aguirre</cp:lastModifiedBy>
  <cp:lastPrinted>2020-11-02T15:52:32Z</cp:lastPrinted>
  <dcterms:created xsi:type="dcterms:W3CDTF">2020-11-02T15:07:35Z</dcterms:created>
  <dcterms:modified xsi:type="dcterms:W3CDTF">2023-03-22T18:46:06Z</dcterms:modified>
</cp:coreProperties>
</file>