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Modelos Cuantitativos y de Optimización/"/>
    </mc:Choice>
  </mc:AlternateContent>
  <xr:revisionPtr revIDLastSave="47" documentId="13_ncr:1_{18F23C04-200B-49DA-84D4-0F4DA9C37DA0}" xr6:coauthVersionLast="47" xr6:coauthVersionMax="47" xr10:uidLastSave="{41576AC9-7A0F-4C17-AF37-2194F75A626F}"/>
  <bookViews>
    <workbookView xWindow="-120" yWindow="-120" windowWidth="20730" windowHeight="11310" xr2:uid="{C069ECA2-B5E2-4A1A-A579-DACE502E08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F9" i="1" s="1"/>
  <c r="I9" i="1" s="1"/>
  <c r="D2" i="1"/>
  <c r="E9" i="1" s="1"/>
  <c r="D18" i="1"/>
  <c r="C18" i="1"/>
  <c r="F17" i="1" l="1"/>
  <c r="I17" i="1" s="1"/>
  <c r="G9" i="1"/>
  <c r="F11" i="1"/>
  <c r="I11" i="1" s="1"/>
  <c r="F8" i="1"/>
  <c r="I8" i="1" s="1"/>
  <c r="F10" i="1"/>
  <c r="I10" i="1" s="1"/>
  <c r="E8" i="1"/>
  <c r="H8" i="1" s="1"/>
  <c r="E17" i="1"/>
  <c r="G17" i="1" s="1"/>
  <c r="E11" i="1"/>
  <c r="G11" i="1" s="1"/>
  <c r="E10" i="1"/>
  <c r="H9" i="1"/>
  <c r="G8" i="1" l="1"/>
  <c r="I18" i="1"/>
  <c r="D5" i="1" s="1"/>
  <c r="H11" i="1"/>
  <c r="H17" i="1"/>
  <c r="G10" i="1"/>
  <c r="G18" i="1" s="1"/>
  <c r="H10" i="1"/>
  <c r="H18" i="1" l="1"/>
  <c r="D4" i="1" s="1"/>
  <c r="G2" i="1"/>
  <c r="D21" i="1" l="1"/>
  <c r="D20" i="1" s="1"/>
  <c r="I21" i="1" s="1"/>
  <c r="G3" i="1"/>
</calcChain>
</file>

<file path=xl/sharedStrings.xml><?xml version="1.0" encoding="utf-8"?>
<sst xmlns="http://schemas.openxmlformats.org/spreadsheetml/2006/main" count="13" uniqueCount="13">
  <si>
    <t>Meda Aritmética (X)</t>
  </si>
  <si>
    <t>Meda Aritmética (Y)</t>
  </si>
  <si>
    <t>Sumatorias</t>
  </si>
  <si>
    <t>Covarianza</t>
  </si>
  <si>
    <t>Varianza (X)</t>
  </si>
  <si>
    <t>Varianza (Y)</t>
  </si>
  <si>
    <t>Correlación</t>
  </si>
  <si>
    <t xml:space="preserve"> (X)</t>
  </si>
  <si>
    <t xml:space="preserve"> (Y)</t>
  </si>
  <si>
    <t>Pronóstico Y</t>
  </si>
  <si>
    <t>Pronóstico X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</si>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</sst>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7" xfId="0" applyBorder="1"/>
    <xf numFmtId="0" fontId="0" fillId="2" borderId="0" xfId="0" applyFill="1"/>
    <xf numFmtId="2" fontId="0" fillId="2" borderId="5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2" fillId="2" borderId="8" xfId="0" applyNumberFormat="1" applyFont="1" applyFill="1" applyBorder="1"/>
    <xf numFmtId="2" fontId="2" fillId="2" borderId="9" xfId="0" applyNumberFormat="1" applyFont="1" applyFill="1" applyBorder="1"/>
    <xf numFmtId="0" fontId="2" fillId="2" borderId="8" xfId="0" applyFont="1" applyFill="1" applyBorder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5</xdr:row>
      <xdr:rowOff>185737</xdr:rowOff>
    </xdr:from>
    <xdr:ext cx="3587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5B5E0F9-2D7C-462C-A18B-6FF29C5AA606}"/>
                </a:ext>
              </a:extLst>
            </xdr:cNvPr>
            <xdr:cNvSpPr txBox="1"/>
          </xdr:nvSpPr>
          <xdr:spPr>
            <a:xfrm>
              <a:off x="3752850" y="1138237"/>
              <a:ext cx="3587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NI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NI" sz="1100" i="0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s-NI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s-NI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65B5E0F9-2D7C-462C-A18B-6FF29C5AA606}"/>
                </a:ext>
              </a:extLst>
            </xdr:cNvPr>
            <xdr:cNvSpPr txBox="1"/>
          </xdr:nvSpPr>
          <xdr:spPr>
            <a:xfrm>
              <a:off x="3752850" y="1138237"/>
              <a:ext cx="3587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𝑥−𝑥 ̅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5</xdr:col>
      <xdr:colOff>190500</xdr:colOff>
      <xdr:row>6</xdr:row>
      <xdr:rowOff>4762</xdr:rowOff>
    </xdr:from>
    <xdr:ext cx="3627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549F458-BA71-422C-97F1-BC28F93507B3}"/>
                </a:ext>
              </a:extLst>
            </xdr:cNvPr>
            <xdr:cNvSpPr txBox="1"/>
          </xdr:nvSpPr>
          <xdr:spPr>
            <a:xfrm>
              <a:off x="4562475" y="1147762"/>
              <a:ext cx="3627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NI" sz="110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s-NI" sz="1100" i="0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s-NI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s-NI" sz="11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549F458-BA71-422C-97F1-BC28F93507B3}"/>
                </a:ext>
              </a:extLst>
            </xdr:cNvPr>
            <xdr:cNvSpPr txBox="1"/>
          </xdr:nvSpPr>
          <xdr:spPr>
            <a:xfrm>
              <a:off x="4562475" y="1147762"/>
              <a:ext cx="3627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𝑦−𝑦 ̅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6</xdr:col>
      <xdr:colOff>66675</xdr:colOff>
      <xdr:row>6</xdr:row>
      <xdr:rowOff>14287</xdr:rowOff>
    </xdr:from>
    <xdr:ext cx="961032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FD64F1B8-9C27-465C-AC4B-656E4D59C8C7}"/>
                </a:ext>
              </a:extLst>
            </xdr:cNvPr>
            <xdr:cNvSpPr txBox="1"/>
          </xdr:nvSpPr>
          <xdr:spPr>
            <a:xfrm>
              <a:off x="5200650" y="1157287"/>
              <a:ext cx="96103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s-NI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NI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NI" sz="110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acc>
                      </m:e>
                    </m:d>
                    <m:d>
                      <m:dPr>
                        <m:ctrlPr>
                          <a:rPr lang="es-NI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NI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NI" sz="11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s-NI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FD64F1B8-9C27-465C-AC4B-656E4D59C8C7}"/>
                </a:ext>
              </a:extLst>
            </xdr:cNvPr>
            <xdr:cNvSpPr txBox="1"/>
          </xdr:nvSpPr>
          <xdr:spPr>
            <a:xfrm>
              <a:off x="5200650" y="1157287"/>
              <a:ext cx="961032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(𝑋−𝑋 ̅ )(𝑦−𝑌 ̅ )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7</xdr:col>
      <xdr:colOff>104775</xdr:colOff>
      <xdr:row>6</xdr:row>
      <xdr:rowOff>14287</xdr:rowOff>
    </xdr:from>
    <xdr:ext cx="54123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EB19C9DB-B4E7-4FA5-90BB-5BFA514EB325}"/>
                </a:ext>
              </a:extLst>
            </xdr:cNvPr>
            <xdr:cNvSpPr txBox="1"/>
          </xdr:nvSpPr>
          <xdr:spPr>
            <a:xfrm>
              <a:off x="6353175" y="1157287"/>
              <a:ext cx="5412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NI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NI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NI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s-NI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s-NI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NI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NI" sz="1100"/>
            </a:p>
          </xdr:txBody>
        </xdr:sp>
      </mc:Choice>
      <mc:Fallback xmlns="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EB19C9DB-B4E7-4FA5-90BB-5BFA514EB325}"/>
                </a:ext>
              </a:extLst>
            </xdr:cNvPr>
            <xdr:cNvSpPr txBox="1"/>
          </xdr:nvSpPr>
          <xdr:spPr>
            <a:xfrm>
              <a:off x="6353175" y="1157287"/>
              <a:ext cx="54123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(𝑥−𝑥 ̅ )^2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8</xdr:col>
      <xdr:colOff>85725</xdr:colOff>
      <xdr:row>6</xdr:row>
      <xdr:rowOff>33337</xdr:rowOff>
    </xdr:from>
    <xdr:ext cx="55233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BC99E4E9-F69D-452B-A1F0-2F1796B80395}"/>
                </a:ext>
              </a:extLst>
            </xdr:cNvPr>
            <xdr:cNvSpPr txBox="1"/>
          </xdr:nvSpPr>
          <xdr:spPr>
            <a:xfrm>
              <a:off x="7096125" y="1176337"/>
              <a:ext cx="55233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NI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NI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NI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  <m:r>
                              <a:rPr lang="es-NI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s-NI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NI" sz="1100" i="1">
                                    <a:latin typeface="Cambria Math" panose="02040503050406030204" pitchFamily="18" charset="0"/>
                                  </a:rPr>
                                  <m:t>𝑌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NI" sz="1100"/>
            </a:p>
          </xdr:txBody>
        </xdr:sp>
      </mc:Choice>
      <mc:Fallback xmlns="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BC99E4E9-F69D-452B-A1F0-2F1796B80395}"/>
                </a:ext>
              </a:extLst>
            </xdr:cNvPr>
            <xdr:cNvSpPr txBox="1"/>
          </xdr:nvSpPr>
          <xdr:spPr>
            <a:xfrm>
              <a:off x="7096125" y="1176337"/>
              <a:ext cx="55233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(𝑦−𝑌 ̅ )^2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2</xdr:col>
      <xdr:colOff>952500</xdr:colOff>
      <xdr:row>18</xdr:row>
      <xdr:rowOff>185737</xdr:rowOff>
    </xdr:from>
    <xdr:ext cx="17376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8E5FCD-4D0F-C256-C2D1-EFD4AB805B38}"/>
                </a:ext>
              </a:extLst>
            </xdr:cNvPr>
            <xdr:cNvSpPr txBox="1"/>
          </xdr:nvSpPr>
          <xdr:spPr>
            <a:xfrm>
              <a:off x="2476500" y="2890837"/>
              <a:ext cx="1737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NI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NI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F08E5FCD-4D0F-C256-C2D1-EFD4AB805B38}"/>
                </a:ext>
              </a:extLst>
            </xdr:cNvPr>
            <xdr:cNvSpPr txBox="1"/>
          </xdr:nvSpPr>
          <xdr:spPr>
            <a:xfrm>
              <a:off x="2476500" y="2890837"/>
              <a:ext cx="17376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𝛽</a:t>
              </a:r>
              <a:r>
                <a:rPr lang="es-NI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NI" sz="1100" i="0">
                  <a:latin typeface="Cambria Math" panose="02040503050406030204" pitchFamily="18" charset="0"/>
                </a:rPr>
                <a:t>0</a:t>
              </a:r>
              <a:endParaRPr lang="es-NI" sz="1100"/>
            </a:p>
          </xdr:txBody>
        </xdr:sp>
      </mc:Fallback>
    </mc:AlternateContent>
    <xdr:clientData/>
  </xdr:oneCellAnchor>
  <xdr:oneCellAnchor>
    <xdr:from>
      <xdr:col>2</xdr:col>
      <xdr:colOff>962025</xdr:colOff>
      <xdr:row>20</xdr:row>
      <xdr:rowOff>14287</xdr:rowOff>
    </xdr:from>
    <xdr:ext cx="17049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9D531E6-C05B-BF27-305E-EB8217BA234C}"/>
                </a:ext>
              </a:extLst>
            </xdr:cNvPr>
            <xdr:cNvSpPr txBox="1"/>
          </xdr:nvSpPr>
          <xdr:spPr>
            <a:xfrm>
              <a:off x="2486025" y="3100387"/>
              <a:ext cx="1704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NI" sz="1100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NI" sz="110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NI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NI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B9D531E6-C05B-BF27-305E-EB8217BA234C}"/>
                </a:ext>
              </a:extLst>
            </xdr:cNvPr>
            <xdr:cNvSpPr txBox="1"/>
          </xdr:nvSpPr>
          <xdr:spPr>
            <a:xfrm>
              <a:off x="2486025" y="3100387"/>
              <a:ext cx="17049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NI" sz="1100" i="0">
                  <a:latin typeface="Cambria Math" panose="02040503050406030204" pitchFamily="18" charset="0"/>
                </a:rPr>
                <a:t>𝛽</a:t>
              </a:r>
              <a:r>
                <a:rPr lang="es-NI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NI" sz="1100" i="0">
                  <a:latin typeface="Cambria Math" panose="02040503050406030204" pitchFamily="18" charset="0"/>
                </a:rPr>
                <a:t>1</a:t>
              </a:r>
              <a:endParaRPr lang="es-NI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A8CF-475F-4848-A2D5-A02F8EF12A39}">
  <dimension ref="B2:I22"/>
  <sheetViews>
    <sheetView tabSelected="1" workbookViewId="0">
      <selection activeCell="L16" sqref="L16"/>
    </sheetView>
  </sheetViews>
  <sheetFormatPr baseColWidth="10" defaultRowHeight="15" x14ac:dyDescent="0.25"/>
  <cols>
    <col min="3" max="3" width="18.85546875" bestFit="1" customWidth="1"/>
    <col min="4" max="4" width="11.85546875" bestFit="1" customWidth="1"/>
    <col min="5" max="5" width="12" bestFit="1" customWidth="1"/>
    <col min="7" max="7" width="16.7109375" customWidth="1"/>
  </cols>
  <sheetData>
    <row r="2" spans="3:9" x14ac:dyDescent="0.25">
      <c r="C2" t="s">
        <v>0</v>
      </c>
      <c r="D2" s="9" t="e">
        <f>AVERAGE(C8:C17)</f>
        <v>#DIV/0!</v>
      </c>
      <c r="F2" t="s">
        <v>3</v>
      </c>
      <c r="G2" s="9" t="e">
        <f>G18/5</f>
        <v>#DIV/0!</v>
      </c>
    </row>
    <row r="3" spans="3:9" x14ac:dyDescent="0.25">
      <c r="C3" t="s">
        <v>1</v>
      </c>
      <c r="D3" s="9" t="e">
        <f>AVERAGE(D8:D17)</f>
        <v>#DIV/0!</v>
      </c>
      <c r="F3" t="s">
        <v>6</v>
      </c>
      <c r="G3" s="9" t="e">
        <f>G2/(D4*D5)</f>
        <v>#DIV/0!</v>
      </c>
    </row>
    <row r="4" spans="3:9" x14ac:dyDescent="0.25">
      <c r="C4" t="s">
        <v>4</v>
      </c>
      <c r="D4" s="9" t="e">
        <f>H18/5</f>
        <v>#DIV/0!</v>
      </c>
    </row>
    <row r="5" spans="3:9" x14ac:dyDescent="0.25">
      <c r="C5" t="s">
        <v>5</v>
      </c>
      <c r="D5" s="9" t="e">
        <f>I18/5</f>
        <v>#DIV/0!</v>
      </c>
    </row>
    <row r="6" spans="3:9" ht="15.75" thickBot="1" x14ac:dyDescent="0.3"/>
    <row r="7" spans="3:9" ht="15.75" thickBot="1" x14ac:dyDescent="0.3">
      <c r="C7" s="5" t="s">
        <v>7</v>
      </c>
      <c r="D7" s="6" t="s">
        <v>8</v>
      </c>
      <c r="E7" s="6"/>
      <c r="F7" s="6"/>
      <c r="G7" s="6"/>
      <c r="H7" s="6"/>
      <c r="I7" s="7"/>
    </row>
    <row r="8" spans="3:9" x14ac:dyDescent="0.25">
      <c r="C8" s="3"/>
      <c r="D8" s="4"/>
      <c r="E8" s="10" t="e">
        <f t="shared" ref="E8:E17" si="0">(C8-$D$2)</f>
        <v>#DIV/0!</v>
      </c>
      <c r="F8" s="10" t="e">
        <f t="shared" ref="F8:F17" si="1">(D8-$D$3)</f>
        <v>#DIV/0!</v>
      </c>
      <c r="G8" s="10" t="e">
        <f>E8*F8</f>
        <v>#DIV/0!</v>
      </c>
      <c r="H8" s="10" t="e">
        <f>E8*E8</f>
        <v>#DIV/0!</v>
      </c>
      <c r="I8" s="11" t="e">
        <f>F8*F8</f>
        <v>#DIV/0!</v>
      </c>
    </row>
    <row r="9" spans="3:9" x14ac:dyDescent="0.25">
      <c r="C9" s="2"/>
      <c r="D9" s="1"/>
      <c r="E9" s="12" t="e">
        <f t="shared" si="0"/>
        <v>#DIV/0!</v>
      </c>
      <c r="F9" s="12" t="e">
        <f t="shared" si="1"/>
        <v>#DIV/0!</v>
      </c>
      <c r="G9" s="12" t="e">
        <f t="shared" ref="G9:G17" si="2">E9*F9</f>
        <v>#DIV/0!</v>
      </c>
      <c r="H9" s="12" t="e">
        <f t="shared" ref="H9:H17" si="3">E9*E9</f>
        <v>#DIV/0!</v>
      </c>
      <c r="I9" s="13" t="e">
        <f t="shared" ref="I9:I11" si="4">F9*F9</f>
        <v>#DIV/0!</v>
      </c>
    </row>
    <row r="10" spans="3:9" x14ac:dyDescent="0.25">
      <c r="C10" s="2"/>
      <c r="D10" s="1"/>
      <c r="E10" s="12" t="e">
        <f t="shared" si="0"/>
        <v>#DIV/0!</v>
      </c>
      <c r="F10" s="12" t="e">
        <f t="shared" si="1"/>
        <v>#DIV/0!</v>
      </c>
      <c r="G10" s="12" t="e">
        <f t="shared" si="2"/>
        <v>#DIV/0!</v>
      </c>
      <c r="H10" s="12" t="e">
        <f t="shared" si="3"/>
        <v>#DIV/0!</v>
      </c>
      <c r="I10" s="13" t="e">
        <f t="shared" si="4"/>
        <v>#DIV/0!</v>
      </c>
    </row>
    <row r="11" spans="3:9" x14ac:dyDescent="0.25">
      <c r="C11" s="2"/>
      <c r="D11" s="1"/>
      <c r="E11" s="12" t="e">
        <f t="shared" si="0"/>
        <v>#DIV/0!</v>
      </c>
      <c r="F11" s="12" t="e">
        <f t="shared" si="1"/>
        <v>#DIV/0!</v>
      </c>
      <c r="G11" s="12" t="e">
        <f t="shared" si="2"/>
        <v>#DIV/0!</v>
      </c>
      <c r="H11" s="12" t="e">
        <f t="shared" si="3"/>
        <v>#DIV/0!</v>
      </c>
      <c r="I11" s="13" t="e">
        <f t="shared" si="4"/>
        <v>#DIV/0!</v>
      </c>
    </row>
    <row r="12" spans="3:9" x14ac:dyDescent="0.25">
      <c r="C12" s="2"/>
      <c r="D12" s="1"/>
      <c r="E12" s="12"/>
      <c r="F12" s="12"/>
      <c r="G12" s="12"/>
      <c r="H12" s="12"/>
      <c r="I12" s="13"/>
    </row>
    <row r="13" spans="3:9" x14ac:dyDescent="0.25">
      <c r="C13" s="2"/>
      <c r="D13" s="1"/>
      <c r="E13" s="12"/>
      <c r="F13" s="12"/>
      <c r="G13" s="12"/>
      <c r="H13" s="12"/>
      <c r="I13" s="13"/>
    </row>
    <row r="14" spans="3:9" x14ac:dyDescent="0.25">
      <c r="C14" s="2"/>
      <c r="D14" s="1"/>
      <c r="E14" s="12"/>
      <c r="F14" s="12"/>
      <c r="G14" s="12"/>
      <c r="H14" s="12"/>
      <c r="I14" s="13"/>
    </row>
    <row r="15" spans="3:9" x14ac:dyDescent="0.25">
      <c r="C15" s="2"/>
      <c r="D15" s="1"/>
      <c r="E15" s="12"/>
      <c r="F15" s="12"/>
      <c r="G15" s="12"/>
      <c r="H15" s="12"/>
      <c r="I15" s="13"/>
    </row>
    <row r="16" spans="3:9" x14ac:dyDescent="0.25">
      <c r="C16" s="2"/>
      <c r="D16" s="1"/>
      <c r="E16" s="12"/>
      <c r="F16" s="12"/>
      <c r="G16" s="12"/>
      <c r="H16" s="12"/>
      <c r="I16" s="13"/>
    </row>
    <row r="17" spans="2:9" ht="15.75" thickBot="1" x14ac:dyDescent="0.3">
      <c r="C17" s="2"/>
      <c r="D17" s="1"/>
      <c r="E17" s="12" t="e">
        <f t="shared" si="0"/>
        <v>#DIV/0!</v>
      </c>
      <c r="F17" s="12" t="e">
        <f t="shared" si="1"/>
        <v>#DIV/0!</v>
      </c>
      <c r="G17" s="12" t="e">
        <f t="shared" si="2"/>
        <v>#DIV/0!</v>
      </c>
      <c r="H17" s="12" t="e">
        <f t="shared" si="3"/>
        <v>#DIV/0!</v>
      </c>
      <c r="I17" s="13" t="e">
        <f>F17*F17</f>
        <v>#DIV/0!</v>
      </c>
    </row>
    <row r="18" spans="2:9" ht="15.75" thickBot="1" x14ac:dyDescent="0.3">
      <c r="B18" s="8" t="s">
        <v>2</v>
      </c>
      <c r="C18" s="16">
        <f>SUM(C8:C17)</f>
        <v>0</v>
      </c>
      <c r="D18" s="16">
        <f>SUM(D8:D17)</f>
        <v>0</v>
      </c>
      <c r="E18" s="14"/>
      <c r="F18" s="14"/>
      <c r="G18" s="14" t="e">
        <f>SUM(G8:G17)</f>
        <v>#DIV/0!</v>
      </c>
      <c r="H18" s="14" t="e">
        <f>SUM(H8:H17)</f>
        <v>#DIV/0!</v>
      </c>
      <c r="I18" s="15" t="e">
        <f>SUM(I8:I17)</f>
        <v>#DIV/0!</v>
      </c>
    </row>
    <row r="20" spans="2:9" x14ac:dyDescent="0.25">
      <c r="D20" s="17" t="e">
        <f>D3-D21*D2</f>
        <v>#DIV/0!</v>
      </c>
      <c r="H20" t="s">
        <v>11</v>
      </c>
      <c r="I20" t="s">
        <v>12</v>
      </c>
    </row>
    <row r="21" spans="2:9" x14ac:dyDescent="0.25">
      <c r="D21" s="17" t="e">
        <f>G18/H18</f>
        <v>#DIV/0!</v>
      </c>
      <c r="G21" t="s">
        <v>9</v>
      </c>
      <c r="H21">
        <v>20</v>
      </c>
      <c r="I21" s="9" t="e">
        <f>D20+D21*H21</f>
        <v>#DIV/0!</v>
      </c>
    </row>
    <row r="22" spans="2:9" x14ac:dyDescent="0.25">
      <c r="G22" t="s">
        <v>10</v>
      </c>
      <c r="H22" s="9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cp:lastPrinted>2020-11-02T15:52:32Z</cp:lastPrinted>
  <dcterms:created xsi:type="dcterms:W3CDTF">2020-11-02T15:07:35Z</dcterms:created>
  <dcterms:modified xsi:type="dcterms:W3CDTF">2023-03-22T17:37:28Z</dcterms:modified>
</cp:coreProperties>
</file>