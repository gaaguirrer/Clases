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LPIII Introducción a la Inteligencia de Negocios/material/"/>
    </mc:Choice>
  </mc:AlternateContent>
  <xr:revisionPtr revIDLastSave="0" documentId="13_ncr:1_{70892443-C8A3-475E-B250-5D0494655F79}" xr6:coauthVersionLast="47" xr6:coauthVersionMax="47" xr10:uidLastSave="{00000000-0000-0000-0000-000000000000}"/>
  <bookViews>
    <workbookView xWindow="1950" yWindow="1950" windowWidth="15375" windowHeight="7995" activeTab="3" xr2:uid="{E8F5967A-6E02-4958-94F1-B84F0374D9E5}"/>
  </bookViews>
  <sheets>
    <sheet name="Camioneros" sheetId="1" r:id="rId1"/>
    <sheet name="Camiones" sheetId="2" r:id="rId2"/>
    <sheet name="Tipo" sheetId="9" r:id="rId3"/>
    <sheet name="Distribuciones" sheetId="3" r:id="rId4"/>
    <sheet name="Paquetes" sheetId="4" r:id="rId5"/>
    <sheet name="Destinatario" sheetId="10" r:id="rId6"/>
    <sheet name="dirección" sheetId="8" r:id="rId7"/>
    <sheet name="Calles" sheetId="7" r:id="rId8"/>
    <sheet name="Provincias" sheetId="5" r:id="rId9"/>
    <sheet name="Hoja6" sheetId="6" r:id="rId10"/>
  </sheets>
  <definedNames>
    <definedName name="apellidos">Hoja6!$D$6:$D$25</definedName>
    <definedName name="Camioneros">Tabla1[#All]</definedName>
    <definedName name="Camiones">Tabla2[#All]</definedName>
    <definedName name="Direccion">Tabla9[#All]</definedName>
    <definedName name="Distribuciones">Tabla3[#All]</definedName>
    <definedName name="nombres">Hoja6!$C$6:$C$45</definedName>
    <definedName name="Paquetes">Tabla4[#All]</definedName>
    <definedName name="Provincias">Tabla5[#All]</definedName>
    <definedName name="Tipo">Tabla10[#All]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" i="3" l="1" a="1"/>
  <c r="B166" i="3" s="1"/>
  <c r="D166" i="3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12" i="3" a="1"/>
  <c r="B12" i="3" s="1"/>
  <c r="B13" i="3" a="1"/>
  <c r="B13" i="3" s="1"/>
  <c r="B14" i="3" a="1"/>
  <c r="B14" i="3" s="1"/>
  <c r="B15" i="3" a="1"/>
  <c r="B15" i="3" s="1"/>
  <c r="B16" i="3" a="1"/>
  <c r="B16" i="3" s="1"/>
  <c r="B17" i="3" a="1"/>
  <c r="B17" i="3" s="1"/>
  <c r="B18" i="3" a="1"/>
  <c r="B18" i="3" s="1"/>
  <c r="B19" i="3" a="1"/>
  <c r="B19" i="3" s="1"/>
  <c r="B20" i="3" a="1"/>
  <c r="B20" i="3" s="1"/>
  <c r="B21" i="3" a="1"/>
  <c r="B21" i="3" s="1"/>
  <c r="B22" i="3" a="1"/>
  <c r="B22" i="3" s="1"/>
  <c r="B23" i="3" a="1"/>
  <c r="B23" i="3" s="1"/>
  <c r="B24" i="3" a="1"/>
  <c r="B24" i="3" s="1"/>
  <c r="B25" i="3" a="1"/>
  <c r="B25" i="3" s="1"/>
  <c r="B26" i="3" a="1"/>
  <c r="B26" i="3" s="1"/>
  <c r="B27" i="3" a="1"/>
  <c r="B27" i="3" s="1"/>
  <c r="B28" i="3" a="1"/>
  <c r="B28" i="3" s="1"/>
  <c r="B29" i="3" a="1"/>
  <c r="B29" i="3" s="1"/>
  <c r="B30" i="3" a="1"/>
  <c r="B30" i="3" s="1"/>
  <c r="B31" i="3" a="1"/>
  <c r="B31" i="3" s="1"/>
  <c r="B32" i="3" a="1"/>
  <c r="B32" i="3" s="1"/>
  <c r="B33" i="3" a="1"/>
  <c r="B33" i="3" s="1"/>
  <c r="B34" i="3" a="1"/>
  <c r="B34" i="3" s="1"/>
  <c r="B35" i="3" a="1"/>
  <c r="B35" i="3" s="1"/>
  <c r="B36" i="3" a="1"/>
  <c r="B36" i="3" s="1"/>
  <c r="B37" i="3" a="1"/>
  <c r="B37" i="3" s="1"/>
  <c r="B38" i="3" a="1"/>
  <c r="B38" i="3" s="1"/>
  <c r="B39" i="3" a="1"/>
  <c r="B39" i="3" s="1"/>
  <c r="B40" i="3" a="1"/>
  <c r="B40" i="3" s="1"/>
  <c r="B41" i="3" a="1"/>
  <c r="B41" i="3" s="1"/>
  <c r="B42" i="3" a="1"/>
  <c r="B42" i="3" s="1"/>
  <c r="B43" i="3" a="1"/>
  <c r="B43" i="3" s="1"/>
  <c r="B44" i="3" a="1"/>
  <c r="B44" i="3" s="1"/>
  <c r="B45" i="3" a="1"/>
  <c r="B45" i="3" s="1"/>
  <c r="B46" i="3" a="1"/>
  <c r="B46" i="3" s="1"/>
  <c r="B47" i="3" a="1"/>
  <c r="B47" i="3" s="1"/>
  <c r="B48" i="3" a="1"/>
  <c r="B48" i="3" s="1"/>
  <c r="B49" i="3" a="1"/>
  <c r="B49" i="3" s="1"/>
  <c r="B50" i="3" a="1"/>
  <c r="B50" i="3" s="1"/>
  <c r="B51" i="3" a="1"/>
  <c r="B51" i="3" s="1"/>
  <c r="B52" i="3" a="1"/>
  <c r="B52" i="3" s="1"/>
  <c r="B53" i="3" a="1"/>
  <c r="B53" i="3" s="1"/>
  <c r="B54" i="3" a="1"/>
  <c r="B54" i="3" s="1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 s="1"/>
  <c r="B62" i="3" a="1"/>
  <c r="B62" i="3" s="1"/>
  <c r="B63" i="3" a="1"/>
  <c r="B63" i="3" s="1"/>
  <c r="B64" i="3" a="1"/>
  <c r="B64" i="3" s="1"/>
  <c r="B65" i="3" a="1"/>
  <c r="B65" i="3" s="1"/>
  <c r="B66" i="3" a="1"/>
  <c r="B66" i="3" s="1"/>
  <c r="B67" i="3" a="1"/>
  <c r="B67" i="3" s="1"/>
  <c r="B68" i="3" a="1"/>
  <c r="B68" i="3" s="1"/>
  <c r="B69" i="3" a="1"/>
  <c r="B69" i="3" s="1"/>
  <c r="B70" i="3" a="1"/>
  <c r="B70" i="3" s="1"/>
  <c r="B71" i="3" a="1"/>
  <c r="B71" i="3" s="1"/>
  <c r="B72" i="3" a="1"/>
  <c r="B72" i="3" s="1"/>
  <c r="B73" i="3" a="1"/>
  <c r="B73" i="3" s="1"/>
  <c r="B74" i="3" a="1"/>
  <c r="B74" i="3" s="1"/>
  <c r="B75" i="3" a="1"/>
  <c r="B75" i="3" s="1"/>
  <c r="B76" i="3" a="1"/>
  <c r="B76" i="3" s="1"/>
  <c r="B77" i="3" a="1"/>
  <c r="B77" i="3" s="1"/>
  <c r="B78" i="3" a="1"/>
  <c r="B78" i="3" s="1"/>
  <c r="B79" i="3" a="1"/>
  <c r="B79" i="3" s="1"/>
  <c r="B80" i="3" a="1"/>
  <c r="B80" i="3" s="1"/>
  <c r="B81" i="3" a="1"/>
  <c r="B81" i="3" s="1"/>
  <c r="B82" i="3" a="1"/>
  <c r="B82" i="3" s="1"/>
  <c r="B83" i="3" a="1"/>
  <c r="B83" i="3" s="1"/>
  <c r="B84" i="3" a="1"/>
  <c r="B84" i="3" s="1"/>
  <c r="B85" i="3" a="1"/>
  <c r="B85" i="3" s="1"/>
  <c r="B86" i="3" a="1"/>
  <c r="B86" i="3" s="1"/>
  <c r="B87" i="3" a="1"/>
  <c r="B87" i="3" s="1"/>
  <c r="B88" i="3" a="1"/>
  <c r="B88" i="3" s="1"/>
  <c r="B89" i="3" a="1"/>
  <c r="B89" i="3" s="1"/>
  <c r="B90" i="3" a="1"/>
  <c r="B90" i="3" s="1"/>
  <c r="B91" i="3" a="1"/>
  <c r="B91" i="3" s="1"/>
  <c r="B92" i="3" a="1"/>
  <c r="B92" i="3" s="1"/>
  <c r="B93" i="3" a="1"/>
  <c r="B93" i="3" s="1"/>
  <c r="B94" i="3" a="1"/>
  <c r="B94" i="3" s="1"/>
  <c r="B95" i="3" a="1"/>
  <c r="B95" i="3" s="1"/>
  <c r="B96" i="3" a="1"/>
  <c r="B96" i="3" s="1"/>
  <c r="B97" i="3" a="1"/>
  <c r="B97" i="3" s="1"/>
  <c r="B98" i="3" a="1"/>
  <c r="B98" i="3" s="1"/>
  <c r="B99" i="3" a="1"/>
  <c r="B99" i="3" s="1"/>
  <c r="B100" i="3" a="1"/>
  <c r="B100" i="3" s="1"/>
  <c r="B101" i="3" a="1"/>
  <c r="B101" i="3" s="1"/>
  <c r="B102" i="3" a="1"/>
  <c r="B102" i="3" s="1"/>
  <c r="B103" i="3" a="1"/>
  <c r="B103" i="3" s="1"/>
  <c r="B104" i="3" a="1"/>
  <c r="B104" i="3" s="1"/>
  <c r="B105" i="3" a="1"/>
  <c r="B105" i="3" s="1"/>
  <c r="B106" i="3" a="1"/>
  <c r="B106" i="3" s="1"/>
  <c r="B107" i="3" a="1"/>
  <c r="B107" i="3" s="1"/>
  <c r="B108" i="3" a="1"/>
  <c r="B108" i="3" s="1"/>
  <c r="B109" i="3" a="1"/>
  <c r="B109" i="3" s="1"/>
  <c r="B110" i="3" a="1"/>
  <c r="B110" i="3" s="1"/>
  <c r="B111" i="3" a="1"/>
  <c r="B111" i="3" s="1"/>
  <c r="B112" i="3" a="1"/>
  <c r="B112" i="3" s="1"/>
  <c r="B113" i="3" a="1"/>
  <c r="B113" i="3" s="1"/>
  <c r="B114" i="3" a="1"/>
  <c r="B114" i="3" s="1"/>
  <c r="B115" i="3" a="1"/>
  <c r="B115" i="3" s="1"/>
  <c r="B116" i="3" a="1"/>
  <c r="B116" i="3" s="1"/>
  <c r="B117" i="3" a="1"/>
  <c r="B117" i="3" s="1"/>
  <c r="B118" i="3" a="1"/>
  <c r="B118" i="3" s="1"/>
  <c r="B119" i="3" a="1"/>
  <c r="B119" i="3" s="1"/>
  <c r="B120" i="3" a="1"/>
  <c r="B120" i="3" s="1"/>
  <c r="B121" i="3" a="1"/>
  <c r="B121" i="3" s="1"/>
  <c r="B122" i="3" a="1"/>
  <c r="B122" i="3" s="1"/>
  <c r="B123" i="3" a="1"/>
  <c r="B123" i="3" s="1"/>
  <c r="B124" i="3" a="1"/>
  <c r="B124" i="3" s="1"/>
  <c r="B125" i="3" a="1"/>
  <c r="B125" i="3" s="1"/>
  <c r="B126" i="3" a="1"/>
  <c r="B126" i="3" s="1"/>
  <c r="B127" i="3" a="1"/>
  <c r="B127" i="3" s="1"/>
  <c r="B128" i="3" a="1"/>
  <c r="B128" i="3" s="1"/>
  <c r="B129" i="3" a="1"/>
  <c r="B129" i="3" s="1"/>
  <c r="B130" i="3" a="1"/>
  <c r="B130" i="3" s="1"/>
  <c r="B131" i="3" a="1"/>
  <c r="B131" i="3" s="1"/>
  <c r="B132" i="3" a="1"/>
  <c r="B132" i="3" s="1"/>
  <c r="B133" i="3" a="1"/>
  <c r="B133" i="3" s="1"/>
  <c r="B134" i="3" a="1"/>
  <c r="B134" i="3" s="1"/>
  <c r="B135" i="3" a="1"/>
  <c r="B135" i="3" s="1"/>
  <c r="B136" i="3" a="1"/>
  <c r="B136" i="3" s="1"/>
  <c r="B137" i="3" a="1"/>
  <c r="B137" i="3" s="1"/>
  <c r="B138" i="3" a="1"/>
  <c r="B138" i="3" s="1"/>
  <c r="B139" i="3" a="1"/>
  <c r="B139" i="3" s="1"/>
  <c r="B140" i="3" a="1"/>
  <c r="B140" i="3" s="1"/>
  <c r="B141" i="3" a="1"/>
  <c r="B141" i="3" s="1"/>
  <c r="B142" i="3" a="1"/>
  <c r="B142" i="3" s="1"/>
  <c r="B143" i="3" a="1"/>
  <c r="B143" i="3" s="1"/>
  <c r="B144" i="3" a="1"/>
  <c r="B144" i="3" s="1"/>
  <c r="B145" i="3" a="1"/>
  <c r="B145" i="3" s="1"/>
  <c r="B146" i="3" a="1"/>
  <c r="B146" i="3" s="1"/>
  <c r="B147" i="3" a="1"/>
  <c r="B147" i="3" s="1"/>
  <c r="B148" i="3" a="1"/>
  <c r="B148" i="3" s="1"/>
  <c r="B149" i="3" a="1"/>
  <c r="B149" i="3" s="1"/>
  <c r="B150" i="3" a="1"/>
  <c r="B150" i="3" s="1"/>
  <c r="B151" i="3" a="1"/>
  <c r="B151" i="3" s="1"/>
  <c r="B152" i="3" a="1"/>
  <c r="B152" i="3" s="1"/>
  <c r="B153" i="3" a="1"/>
  <c r="B153" i="3" s="1"/>
  <c r="B154" i="3" a="1"/>
  <c r="B154" i="3" s="1"/>
  <c r="B155" i="3" a="1"/>
  <c r="B155" i="3" s="1"/>
  <c r="B156" i="3" a="1"/>
  <c r="B156" i="3" s="1"/>
  <c r="B157" i="3" a="1"/>
  <c r="B157" i="3" s="1"/>
  <c r="B158" i="3" a="1"/>
  <c r="B158" i="3" s="1"/>
  <c r="B159" i="3" a="1"/>
  <c r="B159" i="3" s="1"/>
  <c r="B160" i="3" a="1"/>
  <c r="B160" i="3" s="1"/>
  <c r="B161" i="3" a="1"/>
  <c r="B161" i="3" s="1"/>
  <c r="B162" i="3" a="1"/>
  <c r="B162" i="3" s="1"/>
  <c r="B163" i="3" a="1"/>
  <c r="B163" i="3" s="1"/>
  <c r="B164" i="3" a="1"/>
  <c r="B164" i="3" s="1"/>
  <c r="B165" i="3" a="1"/>
  <c r="B165" i="3" s="1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C16" i="4" a="1"/>
  <c r="C16" i="4" s="1"/>
  <c r="D16" i="4" a="1"/>
  <c r="D16" i="4" s="1"/>
  <c r="C17" i="4" a="1"/>
  <c r="C17" i="4" s="1"/>
  <c r="D17" i="4" a="1"/>
  <c r="D17" i="4" s="1"/>
  <c r="C18" i="4" a="1"/>
  <c r="C18" i="4" s="1"/>
  <c r="D18" i="4" a="1"/>
  <c r="D18" i="4" s="1"/>
  <c r="C19" i="4" a="1"/>
  <c r="C19" i="4" s="1"/>
  <c r="D19" i="4" a="1"/>
  <c r="D19" i="4" s="1"/>
  <c r="C20" i="4" a="1"/>
  <c r="C20" i="4" s="1"/>
  <c r="D20" i="4" a="1"/>
  <c r="D20" i="4" s="1"/>
  <c r="C21" i="4" a="1"/>
  <c r="C21" i="4" s="1"/>
  <c r="D21" i="4" a="1"/>
  <c r="D21" i="4" s="1"/>
  <c r="C22" i="4" a="1"/>
  <c r="C22" i="4" s="1"/>
  <c r="D22" i="4" a="1"/>
  <c r="D22" i="4" s="1"/>
  <c r="C23" i="4" a="1"/>
  <c r="C23" i="4" s="1"/>
  <c r="D23" i="4" a="1"/>
  <c r="D23" i="4" s="1"/>
  <c r="C24" i="4" a="1"/>
  <c r="C24" i="4" s="1"/>
  <c r="D24" i="4" a="1"/>
  <c r="D24" i="4" s="1"/>
  <c r="C25" i="4" a="1"/>
  <c r="C25" i="4" s="1"/>
  <c r="D25" i="4" a="1"/>
  <c r="D25" i="4" s="1"/>
  <c r="C26" i="4" a="1"/>
  <c r="C26" i="4" s="1"/>
  <c r="D26" i="4" a="1"/>
  <c r="D26" i="4" s="1"/>
  <c r="C27" i="4" a="1"/>
  <c r="C27" i="4" s="1"/>
  <c r="D27" i="4" a="1"/>
  <c r="D27" i="4" s="1"/>
  <c r="C28" i="4" a="1"/>
  <c r="C28" i="4" s="1"/>
  <c r="D28" i="4" a="1"/>
  <c r="D28" i="4" s="1"/>
  <c r="C29" i="4" a="1"/>
  <c r="C29" i="4" s="1"/>
  <c r="D29" i="4" a="1"/>
  <c r="D29" i="4" s="1"/>
  <c r="C30" i="4" a="1"/>
  <c r="C30" i="4" s="1"/>
  <c r="D30" i="4" a="1"/>
  <c r="D30" i="4" s="1"/>
  <c r="C31" i="4" a="1"/>
  <c r="C31" i="4" s="1"/>
  <c r="D31" i="4" a="1"/>
  <c r="D31" i="4" s="1"/>
  <c r="C32" i="4" a="1"/>
  <c r="C32" i="4" s="1"/>
  <c r="D32" i="4" a="1"/>
  <c r="D32" i="4" s="1"/>
  <c r="C33" i="4" a="1"/>
  <c r="C33" i="4" s="1"/>
  <c r="D33" i="4" a="1"/>
  <c r="D33" i="4" s="1"/>
  <c r="C34" i="4" a="1"/>
  <c r="C34" i="4" s="1"/>
  <c r="D34" i="4" a="1"/>
  <c r="D34" i="4" s="1"/>
  <c r="C35" i="4" a="1"/>
  <c r="C35" i="4" s="1"/>
  <c r="D35" i="4" a="1"/>
  <c r="D35" i="4" s="1"/>
  <c r="C36" i="4" a="1"/>
  <c r="C36" i="4" s="1"/>
  <c r="D36" i="4" a="1"/>
  <c r="D36" i="4" s="1"/>
  <c r="C37" i="4" a="1"/>
  <c r="C37" i="4" s="1"/>
  <c r="D37" i="4" a="1"/>
  <c r="D37" i="4" s="1"/>
  <c r="C38" i="4" a="1"/>
  <c r="C38" i="4" s="1"/>
  <c r="D38" i="4" a="1"/>
  <c r="D38" i="4" s="1"/>
  <c r="C39" i="4" a="1"/>
  <c r="C39" i="4" s="1"/>
  <c r="D39" i="4" a="1"/>
  <c r="D39" i="4" s="1"/>
  <c r="C40" i="4" a="1"/>
  <c r="C40" i="4" s="1"/>
  <c r="D40" i="4" a="1"/>
  <c r="D40" i="4" s="1"/>
  <c r="C41" i="4" a="1"/>
  <c r="C41" i="4" s="1"/>
  <c r="D41" i="4" a="1"/>
  <c r="D41" i="4" s="1"/>
  <c r="C42" i="4" a="1"/>
  <c r="C42" i="4" s="1"/>
  <c r="D42" i="4" a="1"/>
  <c r="D42" i="4" s="1"/>
  <c r="C43" i="4" a="1"/>
  <c r="C43" i="4" s="1"/>
  <c r="D43" i="4" a="1"/>
  <c r="D43" i="4" s="1"/>
  <c r="C44" i="4" a="1"/>
  <c r="C44" i="4" s="1"/>
  <c r="D44" i="4" a="1"/>
  <c r="D44" i="4" s="1"/>
  <c r="C45" i="4" a="1"/>
  <c r="C45" i="4" s="1"/>
  <c r="D45" i="4" a="1"/>
  <c r="D45" i="4" s="1"/>
  <c r="C46" i="4" a="1"/>
  <c r="C46" i="4" s="1"/>
  <c r="D46" i="4" a="1"/>
  <c r="D46" i="4" s="1"/>
  <c r="C47" i="4" a="1"/>
  <c r="C47" i="4" s="1"/>
  <c r="D47" i="4" a="1"/>
  <c r="D47" i="4" s="1"/>
  <c r="C48" i="4" a="1"/>
  <c r="C48" i="4" s="1"/>
  <c r="D48" i="4" a="1"/>
  <c r="D48" i="4" s="1"/>
  <c r="C49" i="4" a="1"/>
  <c r="C49" i="4" s="1"/>
  <c r="D49" i="4" a="1"/>
  <c r="D49" i="4" s="1"/>
  <c r="C50" i="4" a="1"/>
  <c r="C50" i="4" s="1"/>
  <c r="D50" i="4" a="1"/>
  <c r="D50" i="4" s="1"/>
  <c r="C51" i="4" a="1"/>
  <c r="C51" i="4" s="1"/>
  <c r="D51" i="4" a="1"/>
  <c r="D51" i="4" s="1"/>
  <c r="C52" i="4" a="1"/>
  <c r="C52" i="4" s="1"/>
  <c r="D52" i="4" a="1"/>
  <c r="D52" i="4" s="1"/>
  <c r="C53" i="4" a="1"/>
  <c r="C53" i="4" s="1"/>
  <c r="D53" i="4" a="1"/>
  <c r="D53" i="4" s="1"/>
  <c r="C54" i="4" a="1"/>
  <c r="C54" i="4" s="1"/>
  <c r="D54" i="4" a="1"/>
  <c r="D54" i="4" s="1"/>
  <c r="C55" i="4" a="1"/>
  <c r="C55" i="4" s="1"/>
  <c r="D55" i="4" a="1"/>
  <c r="D55" i="4" s="1"/>
  <c r="C56" i="4" a="1"/>
  <c r="C56" i="4" s="1"/>
  <c r="D56" i="4" a="1"/>
  <c r="D56" i="4" s="1"/>
  <c r="C57" i="4" a="1"/>
  <c r="C57" i="4" s="1"/>
  <c r="D57" i="4" a="1"/>
  <c r="D57" i="4" s="1"/>
  <c r="C58" i="4" a="1"/>
  <c r="C58" i="4" s="1"/>
  <c r="D58" i="4" a="1"/>
  <c r="D58" i="4" s="1"/>
  <c r="C59" i="4" a="1"/>
  <c r="C59" i="4" s="1"/>
  <c r="D59" i="4" a="1"/>
  <c r="D59" i="4" s="1"/>
  <c r="C60" i="4" a="1"/>
  <c r="C60" i="4" s="1"/>
  <c r="D60" i="4" a="1"/>
  <c r="D60" i="4" s="1"/>
  <c r="C61" i="4" a="1"/>
  <c r="C61" i="4" s="1"/>
  <c r="D61" i="4" a="1"/>
  <c r="D61" i="4" s="1"/>
  <c r="C62" i="4" a="1"/>
  <c r="C62" i="4" s="1"/>
  <c r="D62" i="4" a="1"/>
  <c r="D62" i="4" s="1"/>
  <c r="C63" i="4" a="1"/>
  <c r="C63" i="4" s="1"/>
  <c r="D63" i="4" a="1"/>
  <c r="D63" i="4" s="1"/>
  <c r="C64" i="4" a="1"/>
  <c r="C64" i="4" s="1"/>
  <c r="D64" i="4" a="1"/>
  <c r="D64" i="4" s="1"/>
  <c r="C65" i="4" a="1"/>
  <c r="C65" i="4" s="1"/>
  <c r="D65" i="4" a="1"/>
  <c r="D65" i="4" s="1"/>
  <c r="C66" i="4" a="1"/>
  <c r="C66" i="4" s="1"/>
  <c r="D66" i="4" a="1"/>
  <c r="D66" i="4" s="1"/>
  <c r="C67" i="4" a="1"/>
  <c r="C67" i="4" s="1"/>
  <c r="D67" i="4" a="1"/>
  <c r="D67" i="4" s="1"/>
  <c r="C68" i="4" a="1"/>
  <c r="C68" i="4" s="1"/>
  <c r="D68" i="4" a="1"/>
  <c r="D68" i="4" s="1"/>
  <c r="C69" i="4" a="1"/>
  <c r="C69" i="4" s="1"/>
  <c r="D69" i="4" a="1"/>
  <c r="D69" i="4" s="1"/>
  <c r="C70" i="4" a="1"/>
  <c r="C70" i="4" s="1"/>
  <c r="D70" i="4" a="1"/>
  <c r="D70" i="4" s="1"/>
  <c r="C71" i="4" a="1"/>
  <c r="C71" i="4" s="1"/>
  <c r="D71" i="4" a="1"/>
  <c r="D71" i="4" s="1"/>
  <c r="C72" i="4" a="1"/>
  <c r="C72" i="4" s="1"/>
  <c r="D72" i="4" a="1"/>
  <c r="D72" i="4" s="1"/>
  <c r="C73" i="4" a="1"/>
  <c r="C73" i="4" s="1"/>
  <c r="D73" i="4" a="1"/>
  <c r="D73" i="4" s="1"/>
  <c r="C74" i="4" a="1"/>
  <c r="C74" i="4" s="1"/>
  <c r="D74" i="4" a="1"/>
  <c r="D74" i="4" s="1"/>
  <c r="C75" i="4" a="1"/>
  <c r="C75" i="4" s="1"/>
  <c r="D75" i="4" a="1"/>
  <c r="D75" i="4" s="1"/>
  <c r="C76" i="4" a="1"/>
  <c r="C76" i="4" s="1"/>
  <c r="D76" i="4" a="1"/>
  <c r="D76" i="4" s="1"/>
  <c r="C77" i="4" a="1"/>
  <c r="C77" i="4" s="1"/>
  <c r="D77" i="4" a="1"/>
  <c r="D77" i="4" s="1"/>
  <c r="C78" i="4" a="1"/>
  <c r="C78" i="4" s="1"/>
  <c r="D78" i="4" a="1"/>
  <c r="D78" i="4" s="1"/>
  <c r="C79" i="4" a="1"/>
  <c r="C79" i="4" s="1"/>
  <c r="D79" i="4" a="1"/>
  <c r="D79" i="4" s="1"/>
  <c r="C80" i="4" a="1"/>
  <c r="C80" i="4" s="1"/>
  <c r="D80" i="4" a="1"/>
  <c r="D80" i="4" s="1"/>
  <c r="C81" i="4" a="1"/>
  <c r="C81" i="4" s="1"/>
  <c r="D81" i="4" a="1"/>
  <c r="D81" i="4" s="1"/>
  <c r="C82" i="4" a="1"/>
  <c r="C82" i="4" s="1"/>
  <c r="D82" i="4" a="1"/>
  <c r="D82" i="4" s="1"/>
  <c r="C83" i="4" a="1"/>
  <c r="C83" i="4" s="1"/>
  <c r="D83" i="4" a="1"/>
  <c r="D83" i="4" s="1"/>
  <c r="C84" i="4" a="1"/>
  <c r="C84" i="4" s="1"/>
  <c r="D84" i="4" a="1"/>
  <c r="D84" i="4" s="1"/>
  <c r="C85" i="4" a="1"/>
  <c r="C85" i="4" s="1"/>
  <c r="D85" i="4" a="1"/>
  <c r="D85" i="4" s="1"/>
  <c r="C86" i="4" a="1"/>
  <c r="C86" i="4" s="1"/>
  <c r="D86" i="4" a="1"/>
  <c r="D86" i="4" s="1"/>
  <c r="C87" i="4" a="1"/>
  <c r="C87" i="4" s="1"/>
  <c r="D87" i="4" a="1"/>
  <c r="D87" i="4" s="1"/>
  <c r="C88" i="4" a="1"/>
  <c r="C88" i="4" s="1"/>
  <c r="D88" i="4" a="1"/>
  <c r="D88" i="4" s="1"/>
  <c r="C89" i="4" a="1"/>
  <c r="C89" i="4" s="1"/>
  <c r="D89" i="4" a="1"/>
  <c r="D89" i="4" s="1"/>
  <c r="C90" i="4" a="1"/>
  <c r="C90" i="4" s="1"/>
  <c r="D90" i="4" a="1"/>
  <c r="D90" i="4" s="1"/>
  <c r="C91" i="4" a="1"/>
  <c r="C91" i="4" s="1"/>
  <c r="D91" i="4" a="1"/>
  <c r="D91" i="4" s="1"/>
  <c r="C92" i="4" a="1"/>
  <c r="C92" i="4" s="1"/>
  <c r="D92" i="4" a="1"/>
  <c r="D92" i="4" s="1"/>
  <c r="C93" i="4" a="1"/>
  <c r="C93" i="4" s="1"/>
  <c r="D93" i="4" a="1"/>
  <c r="D93" i="4" s="1"/>
  <c r="C94" i="4" a="1"/>
  <c r="C94" i="4" s="1"/>
  <c r="D94" i="4" a="1"/>
  <c r="D94" i="4" s="1"/>
  <c r="C95" i="4" a="1"/>
  <c r="C95" i="4" s="1"/>
  <c r="D95" i="4" a="1"/>
  <c r="D95" i="4" s="1"/>
  <c r="C96" i="4" a="1"/>
  <c r="C96" i="4" s="1"/>
  <c r="D96" i="4" a="1"/>
  <c r="D96" i="4" s="1"/>
  <c r="C97" i="4" a="1"/>
  <c r="C97" i="4" s="1"/>
  <c r="D97" i="4" a="1"/>
  <c r="D97" i="4" s="1"/>
  <c r="C98" i="4" a="1"/>
  <c r="C98" i="4" s="1"/>
  <c r="D98" i="4" a="1"/>
  <c r="D98" i="4" s="1"/>
  <c r="C99" i="4" a="1"/>
  <c r="C99" i="4" s="1"/>
  <c r="D99" i="4" a="1"/>
  <c r="D99" i="4" s="1"/>
  <c r="C100" i="4" a="1"/>
  <c r="C100" i="4" s="1"/>
  <c r="D100" i="4" a="1"/>
  <c r="D100" i="4" s="1"/>
  <c r="C101" i="4" a="1"/>
  <c r="C101" i="4" s="1"/>
  <c r="D101" i="4" a="1"/>
  <c r="D101" i="4" s="1"/>
  <c r="C102" i="4" a="1"/>
  <c r="C102" i="4" s="1"/>
  <c r="D102" i="4" a="1"/>
  <c r="D102" i="4" s="1"/>
  <c r="C103" i="4" a="1"/>
  <c r="C103" i="4" s="1"/>
  <c r="D103" i="4" a="1"/>
  <c r="D103" i="4" s="1"/>
  <c r="C104" i="4" a="1"/>
  <c r="C104" i="4" s="1"/>
  <c r="D104" i="4" a="1"/>
  <c r="D104" i="4" s="1"/>
  <c r="C105" i="4" a="1"/>
  <c r="C105" i="4" s="1"/>
  <c r="D105" i="4" a="1"/>
  <c r="D105" i="4" s="1"/>
  <c r="C106" i="4" a="1"/>
  <c r="C106" i="4" s="1"/>
  <c r="D106" i="4" a="1"/>
  <c r="D106" i="4" s="1"/>
  <c r="C107" i="4" a="1"/>
  <c r="C107" i="4" s="1"/>
  <c r="D107" i="4" a="1"/>
  <c r="D107" i="4" s="1"/>
  <c r="C108" i="4" a="1"/>
  <c r="C108" i="4" s="1"/>
  <c r="D108" i="4" a="1"/>
  <c r="D108" i="4" s="1"/>
  <c r="C109" i="4" a="1"/>
  <c r="C109" i="4" s="1"/>
  <c r="D109" i="4" a="1"/>
  <c r="D109" i="4" s="1"/>
  <c r="C110" i="4" a="1"/>
  <c r="C110" i="4" s="1"/>
  <c r="D110" i="4" a="1"/>
  <c r="D110" i="4" s="1"/>
  <c r="C111" i="4" a="1"/>
  <c r="C111" i="4" s="1"/>
  <c r="D111" i="4" a="1"/>
  <c r="D111" i="4" s="1"/>
  <c r="C112" i="4" a="1"/>
  <c r="C112" i="4" s="1"/>
  <c r="D112" i="4" a="1"/>
  <c r="D112" i="4" s="1"/>
  <c r="C113" i="4" a="1"/>
  <c r="C113" i="4" s="1"/>
  <c r="D113" i="4" a="1"/>
  <c r="D113" i="4" s="1"/>
  <c r="C114" i="4" a="1"/>
  <c r="C114" i="4" s="1"/>
  <c r="D114" i="4" a="1"/>
  <c r="D114" i="4" s="1"/>
  <c r="C115" i="4" a="1"/>
  <c r="C115" i="4" s="1"/>
  <c r="D115" i="4" a="1"/>
  <c r="D115" i="4" s="1"/>
  <c r="C116" i="4" a="1"/>
  <c r="C116" i="4" s="1"/>
  <c r="D116" i="4" a="1"/>
  <c r="D116" i="4" s="1"/>
  <c r="C117" i="4" a="1"/>
  <c r="C117" i="4" s="1"/>
  <c r="D117" i="4" a="1"/>
  <c r="D117" i="4" s="1"/>
  <c r="C118" i="4" a="1"/>
  <c r="C118" i="4" s="1"/>
  <c r="D118" i="4" a="1"/>
  <c r="D118" i="4" s="1"/>
  <c r="C119" i="4" a="1"/>
  <c r="C119" i="4" s="1"/>
  <c r="D119" i="4" a="1"/>
  <c r="D119" i="4" s="1"/>
  <c r="C120" i="4" a="1"/>
  <c r="C120" i="4" s="1"/>
  <c r="D120" i="4" a="1"/>
  <c r="D120" i="4" s="1"/>
  <c r="C121" i="4" a="1"/>
  <c r="C121" i="4" s="1"/>
  <c r="D121" i="4" a="1"/>
  <c r="D121" i="4" s="1"/>
  <c r="C122" i="4" a="1"/>
  <c r="C122" i="4" s="1"/>
  <c r="D122" i="4" a="1"/>
  <c r="D122" i="4" s="1"/>
  <c r="C123" i="4" a="1"/>
  <c r="C123" i="4" s="1"/>
  <c r="D123" i="4" a="1"/>
  <c r="D123" i="4" s="1"/>
  <c r="C124" i="4" a="1"/>
  <c r="C124" i="4" s="1"/>
  <c r="D124" i="4" a="1"/>
  <c r="D124" i="4" s="1"/>
  <c r="C125" i="4" a="1"/>
  <c r="C125" i="4" s="1"/>
  <c r="D125" i="4" a="1"/>
  <c r="D125" i="4" s="1"/>
  <c r="C126" i="4" a="1"/>
  <c r="C126" i="4" s="1"/>
  <c r="D126" i="4" a="1"/>
  <c r="D126" i="4" s="1"/>
  <c r="C127" i="4" a="1"/>
  <c r="C127" i="4" s="1"/>
  <c r="D127" i="4" a="1"/>
  <c r="D127" i="4" s="1"/>
  <c r="C128" i="4" a="1"/>
  <c r="C128" i="4" s="1"/>
  <c r="D128" i="4" a="1"/>
  <c r="D128" i="4" s="1"/>
  <c r="C129" i="4" a="1"/>
  <c r="C129" i="4" s="1"/>
  <c r="D129" i="4" a="1"/>
  <c r="D129" i="4" s="1"/>
  <c r="C130" i="4" a="1"/>
  <c r="C130" i="4" s="1"/>
  <c r="D130" i="4" a="1"/>
  <c r="D130" i="4" s="1"/>
  <c r="C131" i="4" a="1"/>
  <c r="C131" i="4" s="1"/>
  <c r="D131" i="4" a="1"/>
  <c r="D131" i="4" s="1"/>
  <c r="C132" i="4" a="1"/>
  <c r="C132" i="4" s="1"/>
  <c r="D132" i="4" a="1"/>
  <c r="D132" i="4" s="1"/>
  <c r="C133" i="4" a="1"/>
  <c r="C133" i="4" s="1"/>
  <c r="D133" i="4" a="1"/>
  <c r="D133" i="4" s="1"/>
  <c r="C134" i="4" a="1"/>
  <c r="C134" i="4" s="1"/>
  <c r="D134" i="4" a="1"/>
  <c r="D134" i="4" s="1"/>
  <c r="C135" i="4" a="1"/>
  <c r="C135" i="4" s="1"/>
  <c r="D135" i="4" a="1"/>
  <c r="D135" i="4" s="1"/>
  <c r="C136" i="4" a="1"/>
  <c r="C136" i="4" s="1"/>
  <c r="D136" i="4" a="1"/>
  <c r="D136" i="4" s="1"/>
  <c r="C137" i="4" a="1"/>
  <c r="C137" i="4" s="1"/>
  <c r="D137" i="4" a="1"/>
  <c r="D137" i="4" s="1"/>
  <c r="C138" i="4" a="1"/>
  <c r="C138" i="4" s="1"/>
  <c r="D138" i="4" a="1"/>
  <c r="D138" i="4" s="1"/>
  <c r="C139" i="4" a="1"/>
  <c r="C139" i="4" s="1"/>
  <c r="D139" i="4" a="1"/>
  <c r="D139" i="4" s="1"/>
  <c r="C140" i="4" a="1"/>
  <c r="C140" i="4" s="1"/>
  <c r="D140" i="4" a="1"/>
  <c r="D140" i="4" s="1"/>
  <c r="C141" i="4" a="1"/>
  <c r="C141" i="4" s="1"/>
  <c r="D141" i="4" a="1"/>
  <c r="D141" i="4" s="1"/>
  <c r="C142" i="4" a="1"/>
  <c r="C142" i="4" s="1"/>
  <c r="D142" i="4" a="1"/>
  <c r="D142" i="4" s="1"/>
  <c r="C143" i="4" a="1"/>
  <c r="C143" i="4" s="1"/>
  <c r="D143" i="4" a="1"/>
  <c r="D143" i="4" s="1"/>
  <c r="C144" i="4" a="1"/>
  <c r="C144" i="4" s="1"/>
  <c r="D144" i="4" a="1"/>
  <c r="D144" i="4" s="1"/>
  <c r="C145" i="4" a="1"/>
  <c r="C145" i="4" s="1"/>
  <c r="D145" i="4" a="1"/>
  <c r="D145" i="4" s="1"/>
  <c r="C146" i="4" a="1"/>
  <c r="C146" i="4" s="1"/>
  <c r="D146" i="4" a="1"/>
  <c r="D146" i="4" s="1"/>
  <c r="C147" i="4" a="1"/>
  <c r="C147" i="4" s="1"/>
  <c r="D147" i="4" a="1"/>
  <c r="D147" i="4" s="1"/>
  <c r="C148" i="4" a="1"/>
  <c r="C148" i="4" s="1"/>
  <c r="D148" i="4" a="1"/>
  <c r="D148" i="4" s="1"/>
  <c r="C149" i="4" a="1"/>
  <c r="C149" i="4" s="1"/>
  <c r="D149" i="4" a="1"/>
  <c r="D149" i="4" s="1"/>
  <c r="C150" i="4" a="1"/>
  <c r="C150" i="4" s="1"/>
  <c r="D150" i="4" a="1"/>
  <c r="D150" i="4" s="1"/>
  <c r="C151" i="4" a="1"/>
  <c r="C151" i="4" s="1"/>
  <c r="D151" i="4" a="1"/>
  <c r="D151" i="4" s="1"/>
  <c r="C152" i="4" a="1"/>
  <c r="C152" i="4" s="1"/>
  <c r="D152" i="4" a="1"/>
  <c r="D152" i="4" s="1"/>
  <c r="C153" i="4" a="1"/>
  <c r="C153" i="4" s="1"/>
  <c r="D153" i="4" a="1"/>
  <c r="D153" i="4" s="1"/>
  <c r="C154" i="4" a="1"/>
  <c r="C154" i="4" s="1"/>
  <c r="D154" i="4" a="1"/>
  <c r="D154" i="4" s="1"/>
  <c r="C155" i="4" a="1"/>
  <c r="C155" i="4" s="1"/>
  <c r="D155" i="4" a="1"/>
  <c r="D155" i="4" s="1"/>
  <c r="C156" i="4" a="1"/>
  <c r="C156" i="4" s="1"/>
  <c r="D156" i="4" a="1"/>
  <c r="D156" i="4" s="1"/>
  <c r="C157" i="4" a="1"/>
  <c r="C157" i="4" s="1"/>
  <c r="D157" i="4" a="1"/>
  <c r="D157" i="4" s="1"/>
  <c r="C158" i="4" a="1"/>
  <c r="C158" i="4" s="1"/>
  <c r="D158" i="4" a="1"/>
  <c r="D158" i="4" s="1"/>
  <c r="C159" i="4" a="1"/>
  <c r="C159" i="4" s="1"/>
  <c r="D159" i="4" a="1"/>
  <c r="D159" i="4" s="1"/>
  <c r="C160" i="4" a="1"/>
  <c r="C160" i="4" s="1"/>
  <c r="D160" i="4" a="1"/>
  <c r="D160" i="4" s="1"/>
  <c r="C161" i="4" a="1"/>
  <c r="C161" i="4" s="1"/>
  <c r="D161" i="4" a="1"/>
  <c r="D161" i="4" s="1"/>
  <c r="C162" i="4" a="1"/>
  <c r="C162" i="4" s="1"/>
  <c r="D162" i="4" a="1"/>
  <c r="D162" i="4" s="1"/>
  <c r="C163" i="4" a="1"/>
  <c r="C163" i="4" s="1"/>
  <c r="D163" i="4" a="1"/>
  <c r="D163" i="4" s="1"/>
  <c r="C164" i="4" a="1"/>
  <c r="C164" i="4" s="1"/>
  <c r="D164" i="4" a="1"/>
  <c r="D164" i="4" s="1"/>
  <c r="C165" i="4" a="1"/>
  <c r="C165" i="4" s="1"/>
  <c r="D165" i="4" a="1"/>
  <c r="D165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D5" i="4" a="1"/>
  <c r="D5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 s="1"/>
  <c r="D15" i="4" a="1"/>
  <c r="D15" i="4" s="1"/>
  <c r="D7" i="10" a="1"/>
  <c r="D7" i="10" s="1"/>
  <c r="E7" i="10" a="1"/>
  <c r="E7" i="10" s="1"/>
  <c r="D8" i="10" a="1"/>
  <c r="D8" i="10" s="1"/>
  <c r="E8" i="10" a="1"/>
  <c r="E8" i="10" s="1"/>
  <c r="D9" i="10" a="1"/>
  <c r="D9" i="10" s="1"/>
  <c r="E9" i="10" a="1"/>
  <c r="E9" i="10" s="1"/>
  <c r="D10" i="10" a="1"/>
  <c r="D10" i="10" s="1"/>
  <c r="E10" i="10" a="1"/>
  <c r="E10" i="10" s="1"/>
  <c r="D11" i="10" a="1"/>
  <c r="D11" i="10" s="1"/>
  <c r="E11" i="10" a="1"/>
  <c r="E11" i="10" s="1"/>
  <c r="D12" i="10" a="1"/>
  <c r="D12" i="10" s="1"/>
  <c r="E12" i="10" a="1"/>
  <c r="E12" i="10" s="1"/>
  <c r="D13" i="10" a="1"/>
  <c r="D13" i="10" s="1"/>
  <c r="E13" i="10" a="1"/>
  <c r="E13" i="10" s="1"/>
  <c r="D14" i="10" a="1"/>
  <c r="D14" i="10" s="1"/>
  <c r="E14" i="10" a="1"/>
  <c r="E14" i="10" s="1"/>
  <c r="D15" i="10" a="1"/>
  <c r="D15" i="10" s="1"/>
  <c r="E15" i="10" a="1"/>
  <c r="E15" i="10" s="1"/>
  <c r="D16" i="10" a="1"/>
  <c r="D16" i="10" s="1"/>
  <c r="E16" i="10" a="1"/>
  <c r="E16" i="10" s="1"/>
  <c r="D17" i="10" a="1"/>
  <c r="D17" i="10" s="1"/>
  <c r="E17" i="10" a="1"/>
  <c r="E17" i="10" s="1"/>
  <c r="D18" i="10" a="1"/>
  <c r="D18" i="10" s="1"/>
  <c r="E18" i="10" a="1"/>
  <c r="E18" i="10" s="1"/>
  <c r="D19" i="10" a="1"/>
  <c r="D19" i="10" s="1"/>
  <c r="E19" i="10" a="1"/>
  <c r="E19" i="10" s="1"/>
  <c r="D20" i="10" a="1"/>
  <c r="D20" i="10" s="1"/>
  <c r="E20" i="10" a="1"/>
  <c r="E20" i="10" s="1"/>
  <c r="D21" i="10" a="1"/>
  <c r="D21" i="10" s="1"/>
  <c r="E21" i="10" a="1"/>
  <c r="E21" i="10" s="1"/>
  <c r="D22" i="10" a="1"/>
  <c r="D22" i="10" s="1"/>
  <c r="E22" i="10" a="1"/>
  <c r="E22" i="10" s="1"/>
  <c r="D23" i="10" a="1"/>
  <c r="D23" i="10" s="1"/>
  <c r="E23" i="10" a="1"/>
  <c r="E23" i="10" s="1"/>
  <c r="D24" i="10" a="1"/>
  <c r="D24" i="10" s="1"/>
  <c r="E24" i="10" a="1"/>
  <c r="E24" i="10" s="1"/>
  <c r="D25" i="10" a="1"/>
  <c r="D25" i="10" s="1"/>
  <c r="E25" i="10" a="1"/>
  <c r="E25" i="10" s="1"/>
  <c r="D26" i="10" a="1"/>
  <c r="D26" i="10" s="1"/>
  <c r="E26" i="10" a="1"/>
  <c r="E26" i="10" s="1"/>
  <c r="D27" i="10" a="1"/>
  <c r="D27" i="10" s="1"/>
  <c r="E27" i="10" a="1"/>
  <c r="E27" i="10" s="1"/>
  <c r="D28" i="10" a="1"/>
  <c r="D28" i="10" s="1"/>
  <c r="E28" i="10" a="1"/>
  <c r="E28" i="10" s="1"/>
  <c r="D29" i="10" a="1"/>
  <c r="D29" i="10" s="1"/>
  <c r="E29" i="10" a="1"/>
  <c r="E29" i="10" s="1"/>
  <c r="D30" i="10" a="1"/>
  <c r="D30" i="10" s="1"/>
  <c r="E30" i="10" a="1"/>
  <c r="E30" i="10" s="1"/>
  <c r="D31" i="10" a="1"/>
  <c r="D31" i="10" s="1"/>
  <c r="E31" i="10" a="1"/>
  <c r="E31" i="10" s="1"/>
  <c r="D32" i="10" a="1"/>
  <c r="D32" i="10" s="1"/>
  <c r="E32" i="10" a="1"/>
  <c r="E32" i="10" s="1"/>
  <c r="D33" i="10" a="1"/>
  <c r="D33" i="10" s="1"/>
  <c r="E33" i="10" a="1"/>
  <c r="E33" i="10" s="1"/>
  <c r="D34" i="10" a="1"/>
  <c r="D34" i="10" s="1"/>
  <c r="E34" i="10" a="1"/>
  <c r="E34" i="10" s="1"/>
  <c r="D35" i="10" a="1"/>
  <c r="D35" i="10" s="1"/>
  <c r="E35" i="10" a="1"/>
  <c r="E35" i="10" s="1"/>
  <c r="D36" i="10" a="1"/>
  <c r="D36" i="10" s="1"/>
  <c r="E36" i="10" a="1"/>
  <c r="E36" i="10" s="1"/>
  <c r="D37" i="10" a="1"/>
  <c r="D37" i="10" s="1"/>
  <c r="E37" i="10" a="1"/>
  <c r="E37" i="10" s="1"/>
  <c r="D38" i="10" a="1"/>
  <c r="D38" i="10" s="1"/>
  <c r="E38" i="10" a="1"/>
  <c r="E38" i="10" s="1"/>
  <c r="D39" i="10" a="1"/>
  <c r="D39" i="10" s="1"/>
  <c r="E39" i="10" a="1"/>
  <c r="E39" i="10" s="1"/>
  <c r="D40" i="10" a="1"/>
  <c r="D40" i="10" s="1"/>
  <c r="E40" i="10" a="1"/>
  <c r="E40" i="10" s="1"/>
  <c r="D41" i="10" a="1"/>
  <c r="D41" i="10" s="1"/>
  <c r="E41" i="10" a="1"/>
  <c r="E41" i="10" s="1"/>
  <c r="D42" i="10" a="1"/>
  <c r="D42" i="10" s="1"/>
  <c r="E42" i="10" a="1"/>
  <c r="E42" i="10" s="1"/>
  <c r="D43" i="10" a="1"/>
  <c r="D43" i="10" s="1"/>
  <c r="E43" i="10" a="1"/>
  <c r="E43" i="10" s="1"/>
  <c r="D44" i="10" a="1"/>
  <c r="D44" i="10" s="1"/>
  <c r="E44" i="10" a="1"/>
  <c r="E44" i="10" s="1"/>
  <c r="D45" i="10" a="1"/>
  <c r="D45" i="10" s="1"/>
  <c r="E45" i="10" a="1"/>
  <c r="E45" i="10" s="1"/>
  <c r="D46" i="10" a="1"/>
  <c r="D46" i="10" s="1"/>
  <c r="E46" i="10" a="1"/>
  <c r="E46" i="10" s="1"/>
  <c r="D47" i="10" a="1"/>
  <c r="D47" i="10" s="1"/>
  <c r="E47" i="10" a="1"/>
  <c r="E47" i="10" s="1"/>
  <c r="D48" i="10" a="1"/>
  <c r="D48" i="10" s="1"/>
  <c r="E48" i="10" a="1"/>
  <c r="E48" i="10" s="1"/>
  <c r="D49" i="10" a="1"/>
  <c r="D49" i="10" s="1"/>
  <c r="E49" i="10" a="1"/>
  <c r="E49" i="10" s="1"/>
  <c r="D50" i="10" a="1"/>
  <c r="D50" i="10" s="1"/>
  <c r="E50" i="10" a="1"/>
  <c r="E50" i="10" s="1"/>
  <c r="D51" i="10" a="1"/>
  <c r="D51" i="10" s="1"/>
  <c r="E51" i="10" a="1"/>
  <c r="E51" i="10" s="1"/>
  <c r="D52" i="10" a="1"/>
  <c r="D52" i="10" s="1"/>
  <c r="E52" i="10" a="1"/>
  <c r="E52" i="10" s="1"/>
  <c r="D53" i="10" a="1"/>
  <c r="D53" i="10" s="1"/>
  <c r="E53" i="10" a="1"/>
  <c r="E53" i="10" s="1"/>
  <c r="D54" i="10" a="1"/>
  <c r="D54" i="10" s="1"/>
  <c r="E54" i="10" a="1"/>
  <c r="E54" i="10" s="1"/>
  <c r="D55" i="10" a="1"/>
  <c r="D55" i="10" s="1"/>
  <c r="E55" i="10" a="1"/>
  <c r="E55" i="10" s="1"/>
  <c r="D56" i="10" a="1"/>
  <c r="D56" i="10" s="1"/>
  <c r="E56" i="10" a="1"/>
  <c r="E56" i="10" s="1"/>
  <c r="D57" i="10" a="1"/>
  <c r="D57" i="10" s="1"/>
  <c r="E57" i="10" a="1"/>
  <c r="E57" i="10" s="1"/>
  <c r="D58" i="10" a="1"/>
  <c r="D58" i="10" s="1"/>
  <c r="E58" i="10" a="1"/>
  <c r="E58" i="10" s="1"/>
  <c r="D59" i="10" a="1"/>
  <c r="D59" i="10" s="1"/>
  <c r="E59" i="10" a="1"/>
  <c r="E59" i="10" s="1"/>
  <c r="D60" i="10" a="1"/>
  <c r="D60" i="10" s="1"/>
  <c r="E60" i="10" a="1"/>
  <c r="E60" i="10" s="1"/>
  <c r="D61" i="10" a="1"/>
  <c r="D61" i="10" s="1"/>
  <c r="E61" i="10" a="1"/>
  <c r="E61" i="10" s="1"/>
  <c r="D62" i="10" a="1"/>
  <c r="D62" i="10" s="1"/>
  <c r="E62" i="10" a="1"/>
  <c r="E62" i="10" s="1"/>
  <c r="D63" i="10" a="1"/>
  <c r="D63" i="10" s="1"/>
  <c r="E63" i="10" a="1"/>
  <c r="E63" i="10" s="1"/>
  <c r="D64" i="10" a="1"/>
  <c r="D64" i="10" s="1"/>
  <c r="E64" i="10" a="1"/>
  <c r="E64" i="10" s="1"/>
  <c r="D65" i="10" a="1"/>
  <c r="D65" i="10" s="1"/>
  <c r="E65" i="10" a="1"/>
  <c r="E65" i="10" s="1"/>
  <c r="D66" i="10" a="1"/>
  <c r="D66" i="10" s="1"/>
  <c r="E66" i="10" a="1"/>
  <c r="E66" i="10" s="1"/>
  <c r="D67" i="10" a="1"/>
  <c r="D67" i="10" s="1"/>
  <c r="E67" i="10" a="1"/>
  <c r="E67" i="10" s="1"/>
  <c r="D68" i="10" a="1"/>
  <c r="D68" i="10" s="1"/>
  <c r="E68" i="10" a="1"/>
  <c r="E68" i="10" s="1"/>
  <c r="D69" i="10" a="1"/>
  <c r="D69" i="10" s="1"/>
  <c r="E69" i="10" a="1"/>
  <c r="E69" i="10" s="1"/>
  <c r="D70" i="10" a="1"/>
  <c r="D70" i="10" s="1"/>
  <c r="E70" i="10" a="1"/>
  <c r="E70" i="10" s="1"/>
  <c r="D71" i="10" a="1"/>
  <c r="D71" i="10" s="1"/>
  <c r="E71" i="10" a="1"/>
  <c r="E71" i="10" s="1"/>
  <c r="D72" i="10" a="1"/>
  <c r="D72" i="10" s="1"/>
  <c r="E72" i="10" a="1"/>
  <c r="E72" i="10" s="1"/>
  <c r="D73" i="10" a="1"/>
  <c r="D73" i="10" s="1"/>
  <c r="E73" i="10" a="1"/>
  <c r="E73" i="10" s="1"/>
  <c r="D74" i="10" a="1"/>
  <c r="D74" i="10" s="1"/>
  <c r="E74" i="10" a="1"/>
  <c r="E74" i="10" s="1"/>
  <c r="D75" i="10" a="1"/>
  <c r="D75" i="10" s="1"/>
  <c r="E75" i="10" a="1"/>
  <c r="E75" i="10" s="1"/>
  <c r="D76" i="10" a="1"/>
  <c r="D76" i="10" s="1"/>
  <c r="E76" i="10" a="1"/>
  <c r="E76" i="10" s="1"/>
  <c r="D77" i="10" a="1"/>
  <c r="D77" i="10" s="1"/>
  <c r="E77" i="10" a="1"/>
  <c r="E77" i="10" s="1"/>
  <c r="D78" i="10" a="1"/>
  <c r="D78" i="10" s="1"/>
  <c r="E78" i="10" a="1"/>
  <c r="E78" i="10" s="1"/>
  <c r="D79" i="10" a="1"/>
  <c r="D79" i="10" s="1"/>
  <c r="E79" i="10" a="1"/>
  <c r="E79" i="10" s="1"/>
  <c r="D80" i="10" a="1"/>
  <c r="D80" i="10" s="1"/>
  <c r="E80" i="10" a="1"/>
  <c r="E80" i="10" s="1"/>
  <c r="D81" i="10" a="1"/>
  <c r="D81" i="10" s="1"/>
  <c r="E81" i="10" a="1"/>
  <c r="E81" i="10" s="1"/>
  <c r="D82" i="10" a="1"/>
  <c r="D82" i="10" s="1"/>
  <c r="E82" i="10" a="1"/>
  <c r="E82" i="10" s="1"/>
  <c r="D83" i="10" a="1"/>
  <c r="D83" i="10" s="1"/>
  <c r="E83" i="10" a="1"/>
  <c r="E83" i="10" s="1"/>
  <c r="D84" i="10" a="1"/>
  <c r="D84" i="10" s="1"/>
  <c r="E84" i="10" a="1"/>
  <c r="E84" i="10" s="1"/>
  <c r="D85" i="10" a="1"/>
  <c r="D85" i="10" s="1"/>
  <c r="E85" i="10" a="1"/>
  <c r="E85" i="10" s="1"/>
  <c r="D86" i="10" a="1"/>
  <c r="D86" i="10" s="1"/>
  <c r="E86" i="10" a="1"/>
  <c r="E86" i="10" s="1"/>
  <c r="D87" i="10" a="1"/>
  <c r="D87" i="10" s="1"/>
  <c r="E87" i="10" a="1"/>
  <c r="E87" i="10" s="1"/>
  <c r="D88" i="10" a="1"/>
  <c r="D88" i="10" s="1"/>
  <c r="E88" i="10" a="1"/>
  <c r="E88" i="10" s="1"/>
  <c r="D89" i="10" a="1"/>
  <c r="D89" i="10" s="1"/>
  <c r="E89" i="10" a="1"/>
  <c r="E89" i="10" s="1"/>
  <c r="D90" i="10" a="1"/>
  <c r="D90" i="10" s="1"/>
  <c r="E90" i="10" a="1"/>
  <c r="E90" i="10" s="1"/>
  <c r="D91" i="10" a="1"/>
  <c r="D91" i="10" s="1"/>
  <c r="E91" i="10" a="1"/>
  <c r="E91" i="10" s="1"/>
  <c r="D92" i="10" a="1"/>
  <c r="D92" i="10" s="1"/>
  <c r="E92" i="10" a="1"/>
  <c r="E92" i="10" s="1"/>
  <c r="D93" i="10" a="1"/>
  <c r="D93" i="10" s="1"/>
  <c r="E93" i="10" a="1"/>
  <c r="E93" i="10" s="1"/>
  <c r="D94" i="10" a="1"/>
  <c r="D94" i="10" s="1"/>
  <c r="E94" i="10" a="1"/>
  <c r="E94" i="10" s="1"/>
  <c r="D95" i="10" a="1"/>
  <c r="D95" i="10" s="1"/>
  <c r="E95" i="10" a="1"/>
  <c r="E95" i="10" s="1"/>
  <c r="D96" i="10" a="1"/>
  <c r="D96" i="10" s="1"/>
  <c r="E96" i="10" a="1"/>
  <c r="E96" i="10" s="1"/>
  <c r="D97" i="10" a="1"/>
  <c r="D97" i="10" s="1"/>
  <c r="E97" i="10" a="1"/>
  <c r="E97" i="10" s="1"/>
  <c r="D98" i="10" a="1"/>
  <c r="D98" i="10" s="1"/>
  <c r="E98" i="10" a="1"/>
  <c r="E98" i="10" s="1"/>
  <c r="D99" i="10" a="1"/>
  <c r="D99" i="10" s="1"/>
  <c r="E99" i="10" a="1"/>
  <c r="E99" i="10" s="1"/>
  <c r="D100" i="10" a="1"/>
  <c r="D100" i="10" s="1"/>
  <c r="E100" i="10" a="1"/>
  <c r="E100" i="10" s="1"/>
  <c r="D101" i="10" a="1"/>
  <c r="D101" i="10" s="1"/>
  <c r="E101" i="10" a="1"/>
  <c r="E101" i="10" s="1"/>
  <c r="D102" i="10" a="1"/>
  <c r="D102" i="10" s="1"/>
  <c r="E102" i="10" a="1"/>
  <c r="E102" i="10" s="1"/>
  <c r="D103" i="10" a="1"/>
  <c r="D103" i="10" s="1"/>
  <c r="E103" i="10" a="1"/>
  <c r="E103" i="10" s="1"/>
  <c r="D104" i="10" a="1"/>
  <c r="D104" i="10" s="1"/>
  <c r="E104" i="10" a="1"/>
  <c r="E104" i="10" s="1"/>
  <c r="D105" i="10" a="1"/>
  <c r="D105" i="10" s="1"/>
  <c r="E105" i="10" a="1"/>
  <c r="E105" i="10" s="1"/>
  <c r="D106" i="10" a="1"/>
  <c r="D106" i="10" s="1"/>
  <c r="E106" i="10" a="1"/>
  <c r="E106" i="10" s="1"/>
  <c r="D107" i="10" a="1"/>
  <c r="D107" i="10" s="1"/>
  <c r="E107" i="10" a="1"/>
  <c r="E107" i="10" s="1"/>
  <c r="D108" i="10" a="1"/>
  <c r="D108" i="10" s="1"/>
  <c r="E108" i="10" a="1"/>
  <c r="E108" i="10" s="1"/>
  <c r="D109" i="10" a="1"/>
  <c r="D109" i="10" s="1"/>
  <c r="E109" i="10" a="1"/>
  <c r="E109" i="10" s="1"/>
  <c r="E6" i="10" a="1"/>
  <c r="E6" i="10" s="1"/>
  <c r="D6" i="10" a="1"/>
  <c r="D6" i="10" s="1"/>
  <c r="C5" i="1" a="1"/>
  <c r="C5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E4" i="9"/>
  <c r="E5" i="9"/>
  <c r="E6" i="9"/>
  <c r="E7" i="9"/>
  <c r="E8" i="9"/>
  <c r="E9" i="9"/>
  <c r="E10" i="9"/>
  <c r="E11" i="9"/>
  <c r="E12" i="9"/>
  <c r="E13" i="9"/>
  <c r="B5" i="7"/>
  <c r="C6" i="8" a="1"/>
  <c r="C6" i="8" s="1"/>
  <c r="C12" i="8" a="1"/>
  <c r="C12" i="8" s="1"/>
  <c r="C13" i="8" a="1"/>
  <c r="C13" i="8" s="1"/>
  <c r="C14" i="8" a="1"/>
  <c r="C14" i="8" s="1"/>
  <c r="C15" i="8" a="1"/>
  <c r="C15" i="8" s="1"/>
  <c r="C16" i="8" a="1"/>
  <c r="C16" i="8" s="1"/>
  <c r="C17" i="8" a="1"/>
  <c r="C17" i="8" s="1"/>
  <c r="C18" i="8" a="1"/>
  <c r="C18" i="8" s="1"/>
  <c r="C19" i="8" a="1"/>
  <c r="C19" i="8" s="1"/>
  <c r="C20" i="8" a="1"/>
  <c r="C20" i="8" s="1"/>
  <c r="C21" i="8" a="1"/>
  <c r="C21" i="8" s="1"/>
  <c r="C22" i="8" a="1"/>
  <c r="C22" i="8" s="1"/>
  <c r="C23" i="8" a="1"/>
  <c r="C23" i="8" s="1"/>
  <c r="C24" i="8" a="1"/>
  <c r="C24" i="8" s="1"/>
  <c r="C25" i="8" a="1"/>
  <c r="C25" i="8" s="1"/>
  <c r="C26" i="8" a="1"/>
  <c r="C26" i="8" s="1"/>
  <c r="C27" i="8" a="1"/>
  <c r="C27" i="8" s="1"/>
  <c r="C28" i="8" a="1"/>
  <c r="C28" i="8" s="1"/>
  <c r="C29" i="8" a="1"/>
  <c r="C29" i="8" s="1"/>
  <c r="C30" i="8" a="1"/>
  <c r="C30" i="8" s="1"/>
  <c r="C31" i="8" a="1"/>
  <c r="C31" i="8" s="1"/>
  <c r="C32" i="8" a="1"/>
  <c r="C32" i="8" s="1"/>
  <c r="C33" i="8" a="1"/>
  <c r="C33" i="8" s="1"/>
  <c r="C34" i="8" a="1"/>
  <c r="C34" i="8" s="1"/>
  <c r="C35" i="8" a="1"/>
  <c r="C35" i="8" s="1"/>
  <c r="C36" i="8" a="1"/>
  <c r="C36" i="8" s="1"/>
  <c r="C37" i="8" a="1"/>
  <c r="C37" i="8" s="1"/>
  <c r="C38" i="8" a="1"/>
  <c r="C38" i="8" s="1"/>
  <c r="C39" i="8" a="1"/>
  <c r="C39" i="8" s="1"/>
  <c r="C40" i="8" a="1"/>
  <c r="C40" i="8" s="1"/>
  <c r="C41" i="8" a="1"/>
  <c r="C41" i="8" s="1"/>
  <c r="C42" i="8" a="1"/>
  <c r="C42" i="8" s="1"/>
  <c r="C43" i="8" a="1"/>
  <c r="C43" i="8" s="1"/>
  <c r="C44" i="8" a="1"/>
  <c r="C44" i="8" s="1"/>
  <c r="C45" i="8" a="1"/>
  <c r="C45" i="8" s="1"/>
  <c r="C46" i="8" a="1"/>
  <c r="C46" i="8" s="1"/>
  <c r="C47" i="8" a="1"/>
  <c r="C47" i="8" s="1"/>
  <c r="C48" i="8" a="1"/>
  <c r="C48" i="8" s="1"/>
  <c r="C49" i="8" a="1"/>
  <c r="C49" i="8" s="1"/>
  <c r="C50" i="8" a="1"/>
  <c r="C50" i="8" s="1"/>
  <c r="C51" i="8" a="1"/>
  <c r="C51" i="8" s="1"/>
  <c r="C52" i="8" a="1"/>
  <c r="C52" i="8" s="1"/>
  <c r="C53" i="8" a="1"/>
  <c r="C53" i="8" s="1"/>
  <c r="C54" i="8" a="1"/>
  <c r="C54" i="8" s="1"/>
  <c r="C55" i="8" a="1"/>
  <c r="C55" i="8" s="1"/>
  <c r="C56" i="8" a="1"/>
  <c r="C56" i="8" s="1"/>
  <c r="C57" i="8" a="1"/>
  <c r="C57" i="8" s="1"/>
  <c r="C58" i="8" a="1"/>
  <c r="C58" i="8" s="1"/>
  <c r="C59" i="8" a="1"/>
  <c r="C59" i="8" s="1"/>
  <c r="C60" i="8" a="1"/>
  <c r="C60" i="8" s="1"/>
  <c r="C61" i="8" a="1"/>
  <c r="C61" i="8" s="1"/>
  <c r="C62" i="8" a="1"/>
  <c r="C62" i="8" s="1"/>
  <c r="C63" i="8" a="1"/>
  <c r="C63" i="8" s="1"/>
  <c r="C64" i="8" a="1"/>
  <c r="C64" i="8" s="1"/>
  <c r="C65" i="8" a="1"/>
  <c r="C65" i="8" s="1"/>
  <c r="C66" i="8" a="1"/>
  <c r="C66" i="8" s="1"/>
  <c r="C67" i="8" a="1"/>
  <c r="C67" i="8" s="1"/>
  <c r="C68" i="8" a="1"/>
  <c r="C68" i="8" s="1"/>
  <c r="C69" i="8" a="1"/>
  <c r="C69" i="8" s="1"/>
  <c r="C70" i="8" a="1"/>
  <c r="C70" i="8" s="1"/>
  <c r="C71" i="8" a="1"/>
  <c r="C71" i="8" s="1"/>
  <c r="C72" i="8" a="1"/>
  <c r="C72" i="8" s="1"/>
  <c r="C73" i="8" a="1"/>
  <c r="C73" i="8" s="1"/>
  <c r="C74" i="8" a="1"/>
  <c r="C74" i="8" s="1"/>
  <c r="C75" i="8" a="1"/>
  <c r="C75" i="8" s="1"/>
  <c r="C76" i="8" a="1"/>
  <c r="C76" i="8" s="1"/>
  <c r="C77" i="8" a="1"/>
  <c r="C77" i="8" s="1"/>
  <c r="C78" i="8" a="1"/>
  <c r="C78" i="8" s="1"/>
  <c r="C79" i="8" a="1"/>
  <c r="C79" i="8" s="1"/>
  <c r="C80" i="8" a="1"/>
  <c r="C80" i="8" s="1"/>
  <c r="C81" i="8" a="1"/>
  <c r="C81" i="8" s="1"/>
  <c r="C82" i="8" a="1"/>
  <c r="C82" i="8" s="1"/>
  <c r="C83" i="8" a="1"/>
  <c r="C83" i="8" s="1"/>
  <c r="C84" i="8" a="1"/>
  <c r="C84" i="8" s="1"/>
  <c r="C85" i="8" a="1"/>
  <c r="C85" i="8" s="1"/>
  <c r="C86" i="8" a="1"/>
  <c r="C86" i="8" s="1"/>
  <c r="C87" i="8" a="1"/>
  <c r="C87" i="8" s="1"/>
  <c r="C88" i="8" a="1"/>
  <c r="C88" i="8" s="1"/>
  <c r="C89" i="8" a="1"/>
  <c r="C89" i="8" s="1"/>
  <c r="C90" i="8" a="1"/>
  <c r="C90" i="8" s="1"/>
  <c r="C91" i="8" a="1"/>
  <c r="C91" i="8" s="1"/>
  <c r="C92" i="8" a="1"/>
  <c r="C92" i="8" s="1"/>
  <c r="C93" i="8" a="1"/>
  <c r="C93" i="8" s="1"/>
  <c r="C94" i="8" a="1"/>
  <c r="C94" i="8" s="1"/>
  <c r="C95" i="8" a="1"/>
  <c r="C95" i="8" s="1"/>
  <c r="C96" i="8" a="1"/>
  <c r="C96" i="8" s="1"/>
  <c r="C97" i="8" a="1"/>
  <c r="C97" i="8" s="1"/>
  <c r="C98" i="8" a="1"/>
  <c r="C98" i="8" s="1"/>
  <c r="C99" i="8" a="1"/>
  <c r="C99" i="8" s="1"/>
  <c r="C100" i="8" a="1"/>
  <c r="C100" i="8" s="1"/>
  <c r="C101" i="8" a="1"/>
  <c r="C101" i="8" s="1"/>
  <c r="C102" i="8" a="1"/>
  <c r="C102" i="8" s="1"/>
  <c r="C103" i="8" a="1"/>
  <c r="C103" i="8" s="1"/>
  <c r="C104" i="8" a="1"/>
  <c r="C104" i="8" s="1"/>
  <c r="C105" i="8" a="1"/>
  <c r="C105" i="8" s="1"/>
  <c r="C106" i="8" a="1"/>
  <c r="C106" i="8" s="1"/>
  <c r="C107" i="8" a="1"/>
  <c r="C107" i="8" s="1"/>
  <c r="C108" i="8" a="1"/>
  <c r="C108" i="8" s="1"/>
  <c r="C109" i="8" a="1"/>
  <c r="C109" i="8" s="1"/>
  <c r="C110" i="8" a="1"/>
  <c r="C110" i="8" s="1"/>
  <c r="C111" i="8" a="1"/>
  <c r="C111" i="8" s="1"/>
  <c r="C112" i="8" a="1"/>
  <c r="C112" i="8" s="1"/>
  <c r="C113" i="8" a="1"/>
  <c r="C113" i="8" s="1"/>
  <c r="C114" i="8" a="1"/>
  <c r="C114" i="8" s="1"/>
  <c r="C115" i="8" a="1"/>
  <c r="C115" i="8" s="1"/>
  <c r="C116" i="8" a="1"/>
  <c r="C116" i="8" s="1"/>
  <c r="C117" i="8" a="1"/>
  <c r="C117" i="8" s="1"/>
  <c r="C118" i="8" a="1"/>
  <c r="C118" i="8" s="1"/>
  <c r="C119" i="8" a="1"/>
  <c r="C119" i="8" s="1"/>
  <c r="C120" i="8" a="1"/>
  <c r="C120" i="8" s="1"/>
  <c r="C121" i="8" a="1"/>
  <c r="C121" i="8" s="1"/>
  <c r="C122" i="8" a="1"/>
  <c r="C122" i="8" s="1"/>
  <c r="C123" i="8" a="1"/>
  <c r="C123" i="8" s="1"/>
  <c r="C124" i="8" a="1"/>
  <c r="C124" i="8" s="1"/>
  <c r="C125" i="8" a="1"/>
  <c r="C125" i="8" s="1"/>
  <c r="C126" i="8" a="1"/>
  <c r="C126" i="8" s="1"/>
  <c r="C127" i="8" a="1"/>
  <c r="C127" i="8" s="1"/>
  <c r="C128" i="8" a="1"/>
  <c r="C128" i="8" s="1"/>
  <c r="C129" i="8" a="1"/>
  <c r="C129" i="8" s="1"/>
  <c r="C130" i="8" a="1"/>
  <c r="C130" i="8" s="1"/>
  <c r="C131" i="8" a="1"/>
  <c r="C131" i="8" s="1"/>
  <c r="C132" i="8" a="1"/>
  <c r="C132" i="8" s="1"/>
  <c r="C133" i="8" a="1"/>
  <c r="C133" i="8" s="1"/>
  <c r="C134" i="8" a="1"/>
  <c r="C134" i="8" s="1"/>
  <c r="C135" i="8" a="1"/>
  <c r="C135" i="8" s="1"/>
  <c r="C136" i="8" a="1"/>
  <c r="C136" i="8" s="1"/>
  <c r="C137" i="8" a="1"/>
  <c r="C137" i="8" s="1"/>
  <c r="C138" i="8" a="1"/>
  <c r="C138" i="8" s="1"/>
  <c r="C139" i="8" a="1"/>
  <c r="C139" i="8" s="1"/>
  <c r="C140" i="8" a="1"/>
  <c r="C140" i="8" s="1"/>
  <c r="C141" i="8" a="1"/>
  <c r="C141" i="8" s="1"/>
  <c r="C142" i="8" a="1"/>
  <c r="C142" i="8" s="1"/>
  <c r="C143" i="8" a="1"/>
  <c r="C143" i="8" s="1"/>
  <c r="C144" i="8" a="1"/>
  <c r="C144" i="8" s="1"/>
  <c r="C145" i="8" a="1"/>
  <c r="C145" i="8" s="1"/>
  <c r="C146" i="8" a="1"/>
  <c r="C146" i="8" s="1"/>
  <c r="C147" i="8" a="1"/>
  <c r="C147" i="8" s="1"/>
  <c r="C148" i="8" a="1"/>
  <c r="C148" i="8" s="1"/>
  <c r="C149" i="8" a="1"/>
  <c r="C149" i="8" s="1"/>
  <c r="C150" i="8" a="1"/>
  <c r="C150" i="8" s="1"/>
  <c r="C151" i="8" a="1"/>
  <c r="C151" i="8" s="1"/>
  <c r="C152" i="8" a="1"/>
  <c r="C152" i="8" s="1"/>
  <c r="C153" i="8" a="1"/>
  <c r="C153" i="8" s="1"/>
  <c r="C154" i="8" a="1"/>
  <c r="C154" i="8" s="1"/>
  <c r="C155" i="8" a="1"/>
  <c r="C155" i="8" s="1"/>
  <c r="C156" i="8" a="1"/>
  <c r="C156" i="8" s="1"/>
  <c r="C157" i="8" a="1"/>
  <c r="C157" i="8" s="1"/>
  <c r="C158" i="8" a="1"/>
  <c r="C158" i="8" s="1"/>
  <c r="C159" i="8" a="1"/>
  <c r="C159" i="8" s="1"/>
  <c r="C160" i="8" a="1"/>
  <c r="C160" i="8" s="1"/>
  <c r="C161" i="8" a="1"/>
  <c r="C161" i="8" s="1"/>
  <c r="C162" i="8" a="1"/>
  <c r="C162" i="8" s="1"/>
  <c r="C163" i="8" a="1"/>
  <c r="C163" i="8" s="1"/>
  <c r="C164" i="8" a="1"/>
  <c r="C164" i="8" s="1"/>
  <c r="C165" i="8" a="1"/>
  <c r="C165" i="8" s="1"/>
  <c r="C166" i="8" a="1"/>
  <c r="C166" i="8" s="1"/>
  <c r="C167" i="8" a="1"/>
  <c r="C167" i="8" s="1"/>
  <c r="C168" i="8" a="1"/>
  <c r="C168" i="8" s="1"/>
  <c r="C169" i="8" a="1"/>
  <c r="C169" i="8" s="1"/>
  <c r="C170" i="8" a="1"/>
  <c r="C170" i="8" s="1"/>
  <c r="C171" i="8" a="1"/>
  <c r="C171" i="8" s="1"/>
  <c r="C172" i="8" a="1"/>
  <c r="C172" i="8" s="1"/>
  <c r="C173" i="8" a="1"/>
  <c r="C173" i="8" s="1"/>
  <c r="C174" i="8" a="1"/>
  <c r="C174" i="8" s="1"/>
  <c r="C175" i="8" a="1"/>
  <c r="C175" i="8" s="1"/>
  <c r="C176" i="8" a="1"/>
  <c r="C176" i="8" s="1"/>
  <c r="C177" i="8" a="1"/>
  <c r="C177" i="8" s="1"/>
  <c r="C178" i="8" a="1"/>
  <c r="C178" i="8" s="1"/>
  <c r="C179" i="8" a="1"/>
  <c r="C179" i="8" s="1"/>
  <c r="C180" i="8" a="1"/>
  <c r="C180" i="8" s="1"/>
  <c r="C181" i="8" a="1"/>
  <c r="C181" i="8" s="1"/>
  <c r="C182" i="8" a="1"/>
  <c r="C182" i="8" s="1"/>
  <c r="C183" i="8" a="1"/>
  <c r="C183" i="8" s="1"/>
  <c r="C184" i="8" a="1"/>
  <c r="C184" i="8" s="1"/>
  <c r="C185" i="8" a="1"/>
  <c r="C185" i="8" s="1"/>
  <c r="C186" i="8" a="1"/>
  <c r="C186" i="8" s="1"/>
  <c r="C187" i="8" a="1"/>
  <c r="C187" i="8" s="1"/>
  <c r="C188" i="8" a="1"/>
  <c r="C188" i="8" s="1"/>
  <c r="C189" i="8" a="1"/>
  <c r="C189" i="8" s="1"/>
  <c r="C190" i="8" a="1"/>
  <c r="C190" i="8" s="1"/>
  <c r="C191" i="8" a="1"/>
  <c r="C191" i="8" s="1"/>
  <c r="C192" i="8" a="1"/>
  <c r="C192" i="8" s="1"/>
  <c r="C193" i="8" a="1"/>
  <c r="C193" i="8" s="1"/>
  <c r="C194" i="8" a="1"/>
  <c r="C194" i="8" s="1"/>
  <c r="C195" i="8" a="1"/>
  <c r="C195" i="8" s="1"/>
  <c r="C196" i="8" a="1"/>
  <c r="C196" i="8" s="1"/>
  <c r="C197" i="8" a="1"/>
  <c r="C197" i="8" s="1"/>
  <c r="C198" i="8" a="1"/>
  <c r="C198" i="8" s="1"/>
  <c r="C199" i="8" a="1"/>
  <c r="C199" i="8" s="1"/>
  <c r="C200" i="8" a="1"/>
  <c r="C200" i="8" s="1"/>
  <c r="C201" i="8" a="1"/>
  <c r="C201" i="8" s="1"/>
  <c r="C202" i="8" a="1"/>
  <c r="C202" i="8" s="1"/>
  <c r="C203" i="8" a="1"/>
  <c r="C203" i="8" s="1"/>
  <c r="C204" i="8" a="1"/>
  <c r="C204" i="8" s="1"/>
  <c r="C205" i="8" a="1"/>
  <c r="C205" i="8" s="1"/>
  <c r="C206" i="8" a="1"/>
  <c r="C206" i="8" s="1"/>
  <c r="C207" i="8" a="1"/>
  <c r="C207" i="8" s="1"/>
  <c r="C208" i="8" a="1"/>
  <c r="C208" i="8" s="1"/>
  <c r="C209" i="8" a="1"/>
  <c r="C209" i="8" s="1"/>
  <c r="C210" i="8" a="1"/>
  <c r="C210" i="8" s="1"/>
  <c r="C211" i="8" a="1"/>
  <c r="C211" i="8" s="1"/>
  <c r="C212" i="8" a="1"/>
  <c r="C212" i="8" s="1"/>
  <c r="C213" i="8" a="1"/>
  <c r="C213" i="8" s="1"/>
  <c r="C214" i="8" a="1"/>
  <c r="C214" i="8" s="1"/>
  <c r="C215" i="8" a="1"/>
  <c r="C215" i="8" s="1"/>
  <c r="C216" i="8" a="1"/>
  <c r="C216" i="8" s="1"/>
  <c r="C217" i="8" a="1"/>
  <c r="C217" i="8" s="1"/>
  <c r="C218" i="8" a="1"/>
  <c r="C218" i="8" s="1"/>
  <c r="C219" i="8" a="1"/>
  <c r="C219" i="8" s="1"/>
  <c r="C220" i="8" a="1"/>
  <c r="C220" i="8" s="1"/>
  <c r="C221" i="8" a="1"/>
  <c r="C221" i="8" s="1"/>
  <c r="C222" i="8" a="1"/>
  <c r="C222" i="8" s="1"/>
  <c r="F6" i="6"/>
  <c r="C7" i="8" a="1"/>
  <c r="C7" i="8" s="1"/>
  <c r="C8" i="8" a="1"/>
  <c r="C8" i="8" s="1"/>
  <c r="C9" i="8" a="1"/>
  <c r="C9" i="8" s="1"/>
  <c r="C10" i="8" a="1"/>
  <c r="C10" i="8" s="1"/>
  <c r="C11" i="8" a="1"/>
  <c r="C11" i="8" s="1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D10" i="3"/>
  <c r="D6" i="3"/>
  <c r="D7" i="3"/>
  <c r="D8" i="3"/>
  <c r="D9" i="3"/>
  <c r="J47" i="6"/>
  <c r="J48" i="6"/>
  <c r="J45" i="6"/>
  <c r="J46" i="6"/>
  <c r="J40" i="6"/>
  <c r="J41" i="6"/>
  <c r="J42" i="6"/>
  <c r="J43" i="6"/>
  <c r="J4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5" i="1"/>
  <c r="F7" i="6"/>
  <c r="J16" i="6"/>
  <c r="J17" i="6"/>
  <c r="J18" i="6"/>
  <c r="J19" i="6"/>
  <c r="J20" i="6"/>
  <c r="J21" i="6"/>
  <c r="J22" i="6"/>
  <c r="J23" i="6"/>
  <c r="J24" i="6"/>
  <c r="J7" i="6"/>
  <c r="J8" i="6"/>
  <c r="J9" i="6"/>
  <c r="J10" i="6"/>
  <c r="J11" i="6"/>
  <c r="J12" i="6"/>
  <c r="J13" i="6"/>
  <c r="J14" i="6"/>
  <c r="J15" i="6"/>
  <c r="J6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B15" i="4" l="1"/>
  <c r="C16" i="3" s="1"/>
  <c r="D19" i="2" a="1"/>
  <c r="D19" i="2" s="1"/>
  <c r="D11" i="2" a="1"/>
  <c r="D11" i="2" s="1"/>
  <c r="B130" i="4"/>
  <c r="C131" i="3" s="1"/>
  <c r="B144" i="4"/>
  <c r="C145" i="3" s="1"/>
  <c r="B164" i="4"/>
  <c r="C165" i="3" s="1"/>
  <c r="B160" i="4"/>
  <c r="C161" i="3" s="1"/>
  <c r="B156" i="4"/>
  <c r="C157" i="3" s="1"/>
  <c r="B152" i="4"/>
  <c r="C153" i="3" s="1"/>
  <c r="B148" i="4"/>
  <c r="C149" i="3" s="1"/>
  <c r="B140" i="4"/>
  <c r="C141" i="3" s="1"/>
  <c r="B132" i="4"/>
  <c r="C133" i="3" s="1"/>
  <c r="B123" i="4"/>
  <c r="C124" i="3" s="1"/>
  <c r="D44" i="2" a="1"/>
  <c r="D44" i="2" s="1"/>
  <c r="B163" i="4"/>
  <c r="C164" i="3" s="1"/>
  <c r="B159" i="4"/>
  <c r="C160" i="3" s="1"/>
  <c r="B155" i="4"/>
  <c r="C156" i="3" s="1"/>
  <c r="B151" i="4"/>
  <c r="C152" i="3" s="1"/>
  <c r="B147" i="4"/>
  <c r="C148" i="3" s="1"/>
  <c r="B143" i="4"/>
  <c r="C144" i="3" s="1"/>
  <c r="B139" i="4"/>
  <c r="C140" i="3" s="1"/>
  <c r="B135" i="4"/>
  <c r="C136" i="3" s="1"/>
  <c r="B131" i="4"/>
  <c r="C132" i="3" s="1"/>
  <c r="B122" i="4"/>
  <c r="C123" i="3" s="1"/>
  <c r="B115" i="4"/>
  <c r="C116" i="3" s="1"/>
  <c r="B114" i="4"/>
  <c r="C115" i="3" s="1"/>
  <c r="B107" i="4"/>
  <c r="C108" i="3" s="1"/>
  <c r="B106" i="4"/>
  <c r="C107" i="3" s="1"/>
  <c r="B99" i="4"/>
  <c r="C100" i="3" s="1"/>
  <c r="B98" i="4"/>
  <c r="C99" i="3" s="1"/>
  <c r="B91" i="4"/>
  <c r="C92" i="3" s="1"/>
  <c r="B90" i="4"/>
  <c r="C91" i="3" s="1"/>
  <c r="B83" i="4"/>
  <c r="C84" i="3" s="1"/>
  <c r="B82" i="4"/>
  <c r="C83" i="3" s="1"/>
  <c r="B75" i="4"/>
  <c r="C76" i="3" s="1"/>
  <c r="B74" i="4"/>
  <c r="C75" i="3" s="1"/>
  <c r="B67" i="4"/>
  <c r="C68" i="3" s="1"/>
  <c r="B66" i="4"/>
  <c r="C67" i="3" s="1"/>
  <c r="B59" i="4"/>
  <c r="C60" i="3" s="1"/>
  <c r="B58" i="4"/>
  <c r="C59" i="3" s="1"/>
  <c r="B51" i="4"/>
  <c r="C52" i="3" s="1"/>
  <c r="B50" i="4"/>
  <c r="C51" i="3" s="1"/>
  <c r="B43" i="4"/>
  <c r="C44" i="3" s="1"/>
  <c r="B42" i="4"/>
  <c r="C43" i="3" s="1"/>
  <c r="B35" i="4"/>
  <c r="C36" i="3" s="1"/>
  <c r="B34" i="4"/>
  <c r="C35" i="3" s="1"/>
  <c r="B27" i="4"/>
  <c r="C28" i="3" s="1"/>
  <c r="B26" i="4"/>
  <c r="C27" i="3" s="1"/>
  <c r="B19" i="4"/>
  <c r="C20" i="3" s="1"/>
  <c r="B18" i="4"/>
  <c r="C19" i="3" s="1"/>
  <c r="B136" i="4"/>
  <c r="C137" i="3" s="1"/>
  <c r="B126" i="4"/>
  <c r="C127" i="3" s="1"/>
  <c r="B124" i="4"/>
  <c r="C125" i="3" s="1"/>
  <c r="B162" i="4"/>
  <c r="C163" i="3" s="1"/>
  <c r="B158" i="4"/>
  <c r="C159" i="3" s="1"/>
  <c r="B154" i="4"/>
  <c r="C155" i="3" s="1"/>
  <c r="B150" i="4"/>
  <c r="C151" i="3" s="1"/>
  <c r="B146" i="4"/>
  <c r="C147" i="3" s="1"/>
  <c r="B142" i="4"/>
  <c r="C143" i="3" s="1"/>
  <c r="B138" i="4"/>
  <c r="C139" i="3" s="1"/>
  <c r="B134" i="4"/>
  <c r="C135" i="3" s="1"/>
  <c r="B16" i="4"/>
  <c r="C17" i="3" s="1"/>
  <c r="B20" i="4"/>
  <c r="C21" i="3" s="1"/>
  <c r="B24" i="4"/>
  <c r="C25" i="3" s="1"/>
  <c r="B28" i="4"/>
  <c r="C29" i="3" s="1"/>
  <c r="B32" i="4"/>
  <c r="C33" i="3" s="1"/>
  <c r="B36" i="4"/>
  <c r="C37" i="3" s="1"/>
  <c r="B40" i="4"/>
  <c r="C41" i="3" s="1"/>
  <c r="B44" i="4"/>
  <c r="C45" i="3" s="1"/>
  <c r="B48" i="4"/>
  <c r="C49" i="3" s="1"/>
  <c r="B52" i="4"/>
  <c r="C53" i="3" s="1"/>
  <c r="B56" i="4"/>
  <c r="C57" i="3" s="1"/>
  <c r="B60" i="4"/>
  <c r="C61" i="3" s="1"/>
  <c r="B64" i="4"/>
  <c r="C65" i="3" s="1"/>
  <c r="B68" i="4"/>
  <c r="C69" i="3" s="1"/>
  <c r="B72" i="4"/>
  <c r="C73" i="3" s="1"/>
  <c r="B76" i="4"/>
  <c r="C77" i="3" s="1"/>
  <c r="B80" i="4"/>
  <c r="C81" i="3" s="1"/>
  <c r="B84" i="4"/>
  <c r="C85" i="3" s="1"/>
  <c r="B88" i="4"/>
  <c r="C89" i="3" s="1"/>
  <c r="B92" i="4"/>
  <c r="C93" i="3" s="1"/>
  <c r="B96" i="4"/>
  <c r="C97" i="3" s="1"/>
  <c r="B100" i="4"/>
  <c r="C101" i="3" s="1"/>
  <c r="B104" i="4"/>
  <c r="C105" i="3" s="1"/>
  <c r="B108" i="4"/>
  <c r="C109" i="3" s="1"/>
  <c r="B112" i="4"/>
  <c r="C113" i="3" s="1"/>
  <c r="B116" i="4"/>
  <c r="C117" i="3" s="1"/>
  <c r="B120" i="4"/>
  <c r="C121" i="3" s="1"/>
  <c r="B17" i="4"/>
  <c r="C18" i="3" s="1"/>
  <c r="B21" i="4"/>
  <c r="C22" i="3" s="1"/>
  <c r="B25" i="4"/>
  <c r="C26" i="3" s="1"/>
  <c r="B29" i="4"/>
  <c r="C30" i="3" s="1"/>
  <c r="B33" i="4"/>
  <c r="C34" i="3" s="1"/>
  <c r="B37" i="4"/>
  <c r="C38" i="3" s="1"/>
  <c r="B41" i="4"/>
  <c r="C42" i="3" s="1"/>
  <c r="B45" i="4"/>
  <c r="C46" i="3" s="1"/>
  <c r="B49" i="4"/>
  <c r="C50" i="3" s="1"/>
  <c r="B53" i="4"/>
  <c r="C54" i="3" s="1"/>
  <c r="B57" i="4"/>
  <c r="C58" i="3" s="1"/>
  <c r="B61" i="4"/>
  <c r="C62" i="3" s="1"/>
  <c r="B65" i="4"/>
  <c r="C66" i="3" s="1"/>
  <c r="B69" i="4"/>
  <c r="C70" i="3" s="1"/>
  <c r="B73" i="4"/>
  <c r="C74" i="3" s="1"/>
  <c r="B77" i="4"/>
  <c r="C78" i="3" s="1"/>
  <c r="B81" i="4"/>
  <c r="C82" i="3" s="1"/>
  <c r="B85" i="4"/>
  <c r="C86" i="3" s="1"/>
  <c r="B89" i="4"/>
  <c r="C90" i="3" s="1"/>
  <c r="B93" i="4"/>
  <c r="C94" i="3" s="1"/>
  <c r="B97" i="4"/>
  <c r="C98" i="3" s="1"/>
  <c r="B101" i="4"/>
  <c r="C102" i="3" s="1"/>
  <c r="B105" i="4"/>
  <c r="C106" i="3" s="1"/>
  <c r="B109" i="4"/>
  <c r="C110" i="3" s="1"/>
  <c r="B113" i="4"/>
  <c r="C114" i="3" s="1"/>
  <c r="B117" i="4"/>
  <c r="C118" i="3" s="1"/>
  <c r="B121" i="4"/>
  <c r="C122" i="3" s="1"/>
  <c r="B125" i="4"/>
  <c r="C126" i="3" s="1"/>
  <c r="B129" i="4"/>
  <c r="C130" i="3" s="1"/>
  <c r="B165" i="4"/>
  <c r="C166" i="3" s="1"/>
  <c r="B161" i="4"/>
  <c r="C162" i="3" s="1"/>
  <c r="B157" i="4"/>
  <c r="C158" i="3" s="1"/>
  <c r="B153" i="4"/>
  <c r="C154" i="3" s="1"/>
  <c r="B149" i="4"/>
  <c r="C150" i="3" s="1"/>
  <c r="B145" i="4"/>
  <c r="C146" i="3" s="1"/>
  <c r="B141" i="4"/>
  <c r="C142" i="3" s="1"/>
  <c r="B137" i="4"/>
  <c r="C138" i="3" s="1"/>
  <c r="B133" i="4"/>
  <c r="C134" i="3" s="1"/>
  <c r="B128" i="4"/>
  <c r="C129" i="3" s="1"/>
  <c r="B127" i="4"/>
  <c r="C128" i="3" s="1"/>
  <c r="B119" i="4"/>
  <c r="C120" i="3" s="1"/>
  <c r="B118" i="4"/>
  <c r="C119" i="3" s="1"/>
  <c r="B111" i="4"/>
  <c r="C112" i="3" s="1"/>
  <c r="B110" i="4"/>
  <c r="C111" i="3" s="1"/>
  <c r="B103" i="4"/>
  <c r="C104" i="3" s="1"/>
  <c r="B102" i="4"/>
  <c r="C103" i="3" s="1"/>
  <c r="B95" i="4"/>
  <c r="C96" i="3" s="1"/>
  <c r="B94" i="4"/>
  <c r="C95" i="3" s="1"/>
  <c r="B87" i="4"/>
  <c r="C88" i="3" s="1"/>
  <c r="B86" i="4"/>
  <c r="C87" i="3" s="1"/>
  <c r="B79" i="4"/>
  <c r="C80" i="3" s="1"/>
  <c r="B78" i="4"/>
  <c r="C79" i="3" s="1"/>
  <c r="B71" i="4"/>
  <c r="C72" i="3" s="1"/>
  <c r="B70" i="4"/>
  <c r="C71" i="3" s="1"/>
  <c r="B63" i="4"/>
  <c r="C64" i="3" s="1"/>
  <c r="B62" i="4"/>
  <c r="C63" i="3" s="1"/>
  <c r="B55" i="4"/>
  <c r="C56" i="3" s="1"/>
  <c r="B54" i="4"/>
  <c r="C55" i="3" s="1"/>
  <c r="B47" i="4"/>
  <c r="C48" i="3" s="1"/>
  <c r="B46" i="4"/>
  <c r="C47" i="3" s="1"/>
  <c r="B39" i="4"/>
  <c r="C40" i="3" s="1"/>
  <c r="B38" i="4"/>
  <c r="C39" i="3" s="1"/>
  <c r="B31" i="4"/>
  <c r="C32" i="3" s="1"/>
  <c r="B30" i="4"/>
  <c r="C31" i="3" s="1"/>
  <c r="B23" i="4"/>
  <c r="C24" i="3" s="1"/>
  <c r="B22" i="4"/>
  <c r="C23" i="3" s="1"/>
  <c r="D17" i="2" a="1"/>
  <c r="D17" i="2" s="1"/>
  <c r="B8" i="4"/>
  <c r="C9" i="3" s="1"/>
  <c r="B6" i="4"/>
  <c r="C7" i="3" s="1"/>
  <c r="B5" i="4"/>
  <c r="C6" i="3" s="1"/>
  <c r="B7" i="4"/>
  <c r="C8" i="3" s="1"/>
  <c r="D15" i="2" a="1"/>
  <c r="D15" i="2" s="1"/>
  <c r="D30" i="2" a="1"/>
  <c r="D30" i="2" s="1"/>
  <c r="D42" i="2" a="1"/>
  <c r="D42" i="2" s="1"/>
  <c r="D8" i="2" a="1"/>
  <c r="D8" i="2" s="1"/>
  <c r="D32" i="2" a="1"/>
  <c r="D32" i="2" s="1"/>
  <c r="D6" i="2" a="1"/>
  <c r="D6" i="2" s="1"/>
  <c r="D4" i="2" a="1"/>
  <c r="D4" i="2" s="1"/>
  <c r="D24" i="2" a="1"/>
  <c r="D24" i="2" s="1"/>
  <c r="D5" i="2" a="1"/>
  <c r="D5" i="2" s="1"/>
  <c r="D7" i="2" a="1"/>
  <c r="D7" i="2" s="1"/>
  <c r="D9" i="2" a="1"/>
  <c r="D9" i="2" s="1"/>
  <c r="D38" i="2" a="1"/>
  <c r="D38" i="2" s="1"/>
  <c r="D28" i="2" a="1"/>
  <c r="D28" i="2" s="1"/>
  <c r="D16" i="2" a="1"/>
  <c r="D16" i="2" s="1"/>
  <c r="D22" i="2" a="1"/>
  <c r="D22" i="2" s="1"/>
  <c r="D46" i="2" a="1"/>
  <c r="D46" i="2" s="1"/>
  <c r="D34" i="2" a="1"/>
  <c r="D34" i="2" s="1"/>
  <c r="D26" i="2" a="1"/>
  <c r="D26" i="2" s="1"/>
  <c r="D10" i="2" a="1"/>
  <c r="D10" i="2" s="1"/>
  <c r="D40" i="2" a="1"/>
  <c r="D40" i="2" s="1"/>
  <c r="D20" i="2" a="1"/>
  <c r="D20" i="2" s="1"/>
  <c r="D18" i="2" a="1"/>
  <c r="D18" i="2" s="1"/>
  <c r="D14" i="2" a="1"/>
  <c r="D14" i="2" s="1"/>
  <c r="D12" i="2" a="1"/>
  <c r="D12" i="2" s="1"/>
  <c r="D36" i="2" a="1"/>
  <c r="D36" i="2" s="1"/>
  <c r="D45" i="2" a="1"/>
  <c r="D45" i="2" s="1"/>
  <c r="D43" i="2" a="1"/>
  <c r="D43" i="2" s="1"/>
  <c r="D41" i="2" a="1"/>
  <c r="D41" i="2" s="1"/>
  <c r="D39" i="2" a="1"/>
  <c r="D39" i="2" s="1"/>
  <c r="D37" i="2" a="1"/>
  <c r="D37" i="2" s="1"/>
  <c r="D35" i="2" a="1"/>
  <c r="D35" i="2" s="1"/>
  <c r="D33" i="2" a="1"/>
  <c r="D33" i="2" s="1"/>
  <c r="D31" i="2" a="1"/>
  <c r="D31" i="2" s="1"/>
  <c r="D29" i="2" a="1"/>
  <c r="D29" i="2" s="1"/>
  <c r="D27" i="2" a="1"/>
  <c r="D27" i="2" s="1"/>
  <c r="D25" i="2" a="1"/>
  <c r="D25" i="2" s="1"/>
  <c r="D23" i="2" a="1"/>
  <c r="D23" i="2" s="1"/>
  <c r="D21" i="2" a="1"/>
  <c r="D21" i="2" s="1"/>
  <c r="D13" i="2" a="1"/>
  <c r="D13" i="2" s="1"/>
  <c r="D105" i="8" a="1"/>
  <c r="D105" i="8" s="1"/>
  <c r="B105" i="8" s="1"/>
  <c r="D204" i="8" a="1"/>
  <c r="D204" i="8" s="1"/>
  <c r="B204" i="8" s="1"/>
  <c r="D117" i="8" a="1"/>
  <c r="D117" i="8" s="1"/>
  <c r="B117" i="8" s="1"/>
  <c r="D124" i="8" a="1"/>
  <c r="D124" i="8" s="1"/>
  <c r="B124" i="8" s="1"/>
  <c r="D176" i="8" a="1"/>
  <c r="D176" i="8" s="1"/>
  <c r="B176" i="8" s="1"/>
  <c r="D220" i="8" a="1"/>
  <c r="D220" i="8" s="1"/>
  <c r="B220" i="8" s="1"/>
  <c r="D168" i="8" a="1"/>
  <c r="D168" i="8" s="1"/>
  <c r="B168" i="8" s="1"/>
  <c r="D200" i="8" a="1"/>
  <c r="D200" i="8" s="1"/>
  <c r="B200" i="8" s="1"/>
  <c r="D120" i="8" a="1"/>
  <c r="D120" i="8" s="1"/>
  <c r="B120" i="8" s="1"/>
  <c r="D145" i="8" a="1"/>
  <c r="D145" i="8" s="1"/>
  <c r="B145" i="8" s="1"/>
  <c r="D208" i="8" a="1"/>
  <c r="D208" i="8" s="1"/>
  <c r="B208" i="8" s="1"/>
  <c r="D172" i="8" a="1"/>
  <c r="D172" i="8" s="1"/>
  <c r="B172" i="8" s="1"/>
  <c r="D100" i="8" a="1"/>
  <c r="D100" i="8" s="1"/>
  <c r="B100" i="8" s="1"/>
  <c r="D219" i="8" a="1"/>
  <c r="D219" i="8" s="1"/>
  <c r="B219" i="8" s="1"/>
  <c r="D121" i="8" a="1"/>
  <c r="D121" i="8" s="1"/>
  <c r="B121" i="8" s="1"/>
  <c r="D216" i="8" a="1"/>
  <c r="D216" i="8" s="1"/>
  <c r="B216" i="8" s="1"/>
  <c r="D203" i="8" a="1"/>
  <c r="D203" i="8" s="1"/>
  <c r="B203" i="8" s="1"/>
  <c r="D202" i="8" a="1"/>
  <c r="D202" i="8" s="1"/>
  <c r="B202" i="8" s="1"/>
  <c r="D128" i="8" a="1"/>
  <c r="D128" i="8" s="1"/>
  <c r="B128" i="8" s="1"/>
  <c r="D109" i="8" a="1"/>
  <c r="D109" i="8" s="1"/>
  <c r="B109" i="8" s="1"/>
  <c r="D112" i="8" a="1"/>
  <c r="D112" i="8" s="1"/>
  <c r="B112" i="8" s="1"/>
  <c r="D91" i="8" a="1"/>
  <c r="D91" i="8" s="1"/>
  <c r="B91" i="8" s="1"/>
  <c r="D215" i="8" a="1"/>
  <c r="D215" i="8" s="1"/>
  <c r="B215" i="8" s="1"/>
  <c r="D75" i="8" a="1"/>
  <c r="D75" i="8" s="1"/>
  <c r="B75" i="8" s="1"/>
  <c r="D57" i="8" a="1"/>
  <c r="D57" i="8" s="1"/>
  <c r="B57" i="8" s="1"/>
  <c r="D94" i="8" a="1"/>
  <c r="D94" i="8" s="1"/>
  <c r="B94" i="8" s="1"/>
  <c r="D151" i="8" a="1"/>
  <c r="D151" i="8" s="1"/>
  <c r="B151" i="8" s="1"/>
  <c r="D152" i="8" a="1"/>
  <c r="D152" i="8" s="1"/>
  <c r="B152" i="8" s="1"/>
  <c r="D65" i="8" a="1"/>
  <c r="D65" i="8" s="1"/>
  <c r="B65" i="8" s="1"/>
  <c r="D18" i="8" a="1"/>
  <c r="D18" i="8" s="1"/>
  <c r="B18" i="8" s="1"/>
  <c r="D24" i="8" a="1"/>
  <c r="D24" i="8" s="1"/>
  <c r="B24" i="8" s="1"/>
  <c r="D99" i="8" a="1"/>
  <c r="D99" i="8" s="1"/>
  <c r="B99" i="8" s="1"/>
  <c r="D93" i="8" a="1"/>
  <c r="D93" i="8" s="1"/>
  <c r="B93" i="8" s="1"/>
  <c r="D84" i="8" a="1"/>
  <c r="D84" i="8" s="1"/>
  <c r="B84" i="8" s="1"/>
  <c r="D141" i="8" a="1"/>
  <c r="D141" i="8" s="1"/>
  <c r="B141" i="8" s="1"/>
  <c r="D195" i="8" a="1"/>
  <c r="D195" i="8" s="1"/>
  <c r="B195" i="8" s="1"/>
  <c r="D52" i="8" a="1"/>
  <c r="D52" i="8" s="1"/>
  <c r="B52" i="8" s="1"/>
  <c r="D68" i="8" a="1"/>
  <c r="D68" i="8" s="1"/>
  <c r="B68" i="8" s="1"/>
  <c r="D174" i="8" a="1"/>
  <c r="D174" i="8" s="1"/>
  <c r="B174" i="8" s="1"/>
  <c r="D53" i="8" a="1"/>
  <c r="D53" i="8" s="1"/>
  <c r="B53" i="8" s="1"/>
  <c r="D50" i="8" a="1"/>
  <c r="D50" i="8" s="1"/>
  <c r="B50" i="8" s="1"/>
  <c r="D149" i="8" a="1"/>
  <c r="D149" i="8" s="1"/>
  <c r="B149" i="8" s="1"/>
  <c r="D137" i="8" a="1"/>
  <c r="D137" i="8" s="1"/>
  <c r="B137" i="8" s="1"/>
  <c r="D187" i="8" a="1"/>
  <c r="D187" i="8" s="1"/>
  <c r="B187" i="8" s="1"/>
  <c r="D41" i="8" a="1"/>
  <c r="D41" i="8" s="1"/>
  <c r="B41" i="8" s="1"/>
  <c r="D82" i="8" a="1"/>
  <c r="D82" i="8" s="1"/>
  <c r="B82" i="8" s="1"/>
  <c r="D12" i="8" a="1"/>
  <c r="D12" i="8" s="1"/>
  <c r="B12" i="8" s="1"/>
  <c r="D198" i="8" a="1"/>
  <c r="D198" i="8" s="1"/>
  <c r="B198" i="8" s="1"/>
  <c r="D13" i="8" a="1"/>
  <c r="D13" i="8" s="1"/>
  <c r="B13" i="8" s="1"/>
  <c r="D102" i="8" a="1"/>
  <c r="D102" i="8" s="1"/>
  <c r="B102" i="8" s="1"/>
  <c r="D147" i="8" a="1"/>
  <c r="D147" i="8" s="1"/>
  <c r="B147" i="8" s="1"/>
  <c r="D167" i="8" a="1"/>
  <c r="D167" i="8" s="1"/>
  <c r="B167" i="8" s="1"/>
  <c r="D49" i="8" a="1"/>
  <c r="D49" i="8" s="1"/>
  <c r="B49" i="8" s="1"/>
  <c r="D146" i="8" a="1"/>
  <c r="D146" i="8" s="1"/>
  <c r="B146" i="8" s="1"/>
  <c r="D190" i="8" a="1"/>
  <c r="D190" i="8" s="1"/>
  <c r="B190" i="8" s="1"/>
  <c r="D158" i="8" a="1"/>
  <c r="D158" i="8" s="1"/>
  <c r="B158" i="8" s="1"/>
  <c r="D177" i="8" a="1"/>
  <c r="D177" i="8" s="1"/>
  <c r="B177" i="8" s="1"/>
  <c r="D96" i="8" a="1"/>
  <c r="D96" i="8" s="1"/>
  <c r="B96" i="8" s="1"/>
  <c r="D156" i="8" a="1"/>
  <c r="D156" i="8" s="1"/>
  <c r="B156" i="8" s="1"/>
  <c r="D77" i="8" a="1"/>
  <c r="D77" i="8" s="1"/>
  <c r="B77" i="8" s="1"/>
  <c r="D30" i="8" a="1"/>
  <c r="D30" i="8" s="1"/>
  <c r="B30" i="8" s="1"/>
  <c r="D58" i="8" a="1"/>
  <c r="D58" i="8" s="1"/>
  <c r="B58" i="8" s="1"/>
  <c r="D131" i="8" a="1"/>
  <c r="D131" i="8" s="1"/>
  <c r="B131" i="8" s="1"/>
  <c r="D211" i="8" a="1"/>
  <c r="D211" i="8" s="1"/>
  <c r="B211" i="8" s="1"/>
  <c r="D207" i="8" a="1"/>
  <c r="D207" i="8" s="1"/>
  <c r="B207" i="8" s="1"/>
  <c r="D199" i="8" a="1"/>
  <c r="D199" i="8" s="1"/>
  <c r="B199" i="8" s="1"/>
  <c r="D108" i="8" a="1"/>
  <c r="D108" i="8" s="1"/>
  <c r="B108" i="8" s="1"/>
  <c r="D101" i="8" a="1"/>
  <c r="D101" i="8" s="1"/>
  <c r="B101" i="8" s="1"/>
  <c r="D37" i="8" a="1"/>
  <c r="D37" i="8" s="1"/>
  <c r="B37" i="8" s="1"/>
  <c r="D19" i="8" a="1"/>
  <c r="D19" i="8" s="1"/>
  <c r="B19" i="8" s="1"/>
  <c r="D130" i="8" a="1"/>
  <c r="D130" i="8" s="1"/>
  <c r="B130" i="8" s="1"/>
  <c r="D69" i="8" a="1"/>
  <c r="D69" i="8" s="1"/>
  <c r="B69" i="8" s="1"/>
  <c r="D16" i="8" a="1"/>
  <c r="D16" i="8" s="1"/>
  <c r="B16" i="8" s="1"/>
  <c r="D150" i="8" a="1"/>
  <c r="D150" i="8" s="1"/>
  <c r="B150" i="8" s="1"/>
  <c r="D132" i="8" a="1"/>
  <c r="D132" i="8" s="1"/>
  <c r="B132" i="8" s="1"/>
  <c r="D60" i="8" a="1"/>
  <c r="D60" i="8" s="1"/>
  <c r="B60" i="8" s="1"/>
  <c r="D171" i="8" a="1"/>
  <c r="D171" i="8" s="1"/>
  <c r="B171" i="8" s="1"/>
  <c r="D74" i="8" a="1"/>
  <c r="D74" i="8" s="1"/>
  <c r="B74" i="8" s="1"/>
  <c r="D36" i="8" a="1"/>
  <c r="D36" i="8" s="1"/>
  <c r="B36" i="8" s="1"/>
  <c r="D80" i="8" a="1"/>
  <c r="D80" i="8" s="1"/>
  <c r="B80" i="8" s="1"/>
  <c r="D179" i="8" a="1"/>
  <c r="D179" i="8" s="1"/>
  <c r="B179" i="8" s="1"/>
  <c r="D55" i="8" a="1"/>
  <c r="D55" i="8" s="1"/>
  <c r="B55" i="8" s="1"/>
  <c r="D44" i="8" a="1"/>
  <c r="D44" i="8" s="1"/>
  <c r="B44" i="8" s="1"/>
  <c r="D126" i="8" a="1"/>
  <c r="D126" i="8" s="1"/>
  <c r="B126" i="8" s="1"/>
  <c r="D14" i="8" a="1"/>
  <c r="D14" i="8" s="1"/>
  <c r="B14" i="8" s="1"/>
  <c r="D118" i="8" a="1"/>
  <c r="D118" i="8" s="1"/>
  <c r="B118" i="8" s="1"/>
  <c r="D48" i="8" a="1"/>
  <c r="D48" i="8" s="1"/>
  <c r="B48" i="8" s="1"/>
  <c r="D135" i="8" a="1"/>
  <c r="D135" i="8" s="1"/>
  <c r="B135" i="8" s="1"/>
  <c r="D159" i="8" a="1"/>
  <c r="D159" i="8" s="1"/>
  <c r="B159" i="8" s="1"/>
  <c r="D178" i="8" a="1"/>
  <c r="D178" i="8" s="1"/>
  <c r="B178" i="8" s="1"/>
  <c r="D183" i="8" a="1"/>
  <c r="D183" i="8" s="1"/>
  <c r="B183" i="8" s="1"/>
  <c r="D104" i="8" a="1"/>
  <c r="D104" i="8" s="1"/>
  <c r="B104" i="8" s="1"/>
  <c r="D72" i="8" a="1"/>
  <c r="D72" i="8" s="1"/>
  <c r="B72" i="8" s="1"/>
  <c r="D61" i="8" a="1"/>
  <c r="D61" i="8" s="1"/>
  <c r="B61" i="8" s="1"/>
  <c r="D35" i="8" a="1"/>
  <c r="D35" i="8" s="1"/>
  <c r="B35" i="8" s="1"/>
  <c r="D71" i="8" a="1"/>
  <c r="D71" i="8" s="1"/>
  <c r="D64" i="8" a="1"/>
  <c r="D64" i="8" s="1"/>
  <c r="B64" i="8" s="1"/>
  <c r="D95" i="8" a="1"/>
  <c r="D95" i="8" s="1"/>
  <c r="B95" i="8" s="1"/>
  <c r="D114" i="8" a="1"/>
  <c r="D114" i="8" s="1"/>
  <c r="B114" i="8" s="1"/>
  <c r="D111" i="8" a="1"/>
  <c r="D111" i="8" s="1"/>
  <c r="B111" i="8" s="1"/>
  <c r="D25" i="8" a="1"/>
  <c r="D25" i="8" s="1"/>
  <c r="B25" i="8" s="1"/>
  <c r="D142" i="8" a="1"/>
  <c r="D142" i="8" s="1"/>
  <c r="B142" i="8" s="1"/>
  <c r="D22" i="8" a="1"/>
  <c r="D22" i="8" s="1"/>
  <c r="B22" i="8" s="1"/>
  <c r="D26" i="8" a="1"/>
  <c r="D26" i="8" s="1"/>
  <c r="B26" i="8" s="1"/>
  <c r="D143" i="8" a="1"/>
  <c r="D143" i="8" s="1"/>
  <c r="B143" i="8" s="1"/>
  <c r="D169" i="8" a="1"/>
  <c r="D169" i="8" s="1"/>
  <c r="B169" i="8" s="1"/>
  <c r="D33" i="8" a="1"/>
  <c r="D33" i="8" s="1"/>
  <c r="B33" i="8" s="1"/>
  <c r="D85" i="8" a="1"/>
  <c r="D85" i="8" s="1"/>
  <c r="B85" i="8" s="1"/>
  <c r="D162" i="8" a="1"/>
  <c r="D162" i="8" s="1"/>
  <c r="B162" i="8" s="1"/>
  <c r="D133" i="8" a="1"/>
  <c r="D133" i="8" s="1"/>
  <c r="B133" i="8" s="1"/>
  <c r="D170" i="8" a="1"/>
  <c r="D170" i="8" s="1"/>
  <c r="B170" i="8" s="1"/>
  <c r="D194" i="8" a="1"/>
  <c r="D194" i="8" s="1"/>
  <c r="B194" i="8" s="1"/>
  <c r="D56" i="8" a="1"/>
  <c r="D56" i="8" s="1"/>
  <c r="B56" i="8" s="1"/>
  <c r="D81" i="8" a="1"/>
  <c r="D81" i="8" s="1"/>
  <c r="B81" i="8" s="1"/>
  <c r="D38" i="8" a="1"/>
  <c r="D38" i="8" s="1"/>
  <c r="B38" i="8" s="1"/>
  <c r="D54" i="8" a="1"/>
  <c r="D54" i="8" s="1"/>
  <c r="B54" i="8" s="1"/>
  <c r="D78" i="8" a="1"/>
  <c r="D78" i="8" s="1"/>
  <c r="B78" i="8" s="1"/>
  <c r="D28" i="8" a="1"/>
  <c r="D28" i="8" s="1"/>
  <c r="B28" i="8" s="1"/>
  <c r="D103" i="8" a="1"/>
  <c r="D103" i="8" s="1"/>
  <c r="B103" i="8" s="1"/>
  <c r="D155" i="8" a="1"/>
  <c r="D155" i="8" s="1"/>
  <c r="B155" i="8" s="1"/>
  <c r="D163" i="8" a="1"/>
  <c r="D163" i="8" s="1"/>
  <c r="B163" i="8" s="1"/>
  <c r="D40" i="8" a="1"/>
  <c r="D40" i="8" s="1"/>
  <c r="B40" i="8" s="1"/>
  <c r="D73" i="8" a="1"/>
  <c r="D73" i="8" s="1"/>
  <c r="B73" i="8" s="1"/>
  <c r="D222" i="8" a="1"/>
  <c r="D222" i="8" s="1"/>
  <c r="B222" i="8" s="1"/>
  <c r="D218" i="8" a="1"/>
  <c r="D218" i="8" s="1"/>
  <c r="B218" i="8" s="1"/>
  <c r="D214" i="8" a="1"/>
  <c r="D214" i="8" s="1"/>
  <c r="B214" i="8" s="1"/>
  <c r="D210" i="8" a="1"/>
  <c r="D210" i="8" s="1"/>
  <c r="B210" i="8" s="1"/>
  <c r="D206" i="8" a="1"/>
  <c r="D206" i="8" s="1"/>
  <c r="B206" i="8" s="1"/>
  <c r="D164" i="8" a="1"/>
  <c r="D164" i="8" s="1"/>
  <c r="B164" i="8" s="1"/>
  <c r="D125" i="8" a="1"/>
  <c r="D125" i="8" s="1"/>
  <c r="B125" i="8" s="1"/>
  <c r="D88" i="8" a="1"/>
  <c r="D88" i="8" s="1"/>
  <c r="B88" i="8" s="1"/>
  <c r="D59" i="8" a="1"/>
  <c r="D59" i="8" s="1"/>
  <c r="B59" i="8" s="1"/>
  <c r="D173" i="8" a="1"/>
  <c r="D173" i="8" s="1"/>
  <c r="B173" i="8" s="1"/>
  <c r="D175" i="8" a="1"/>
  <c r="D175" i="8" s="1"/>
  <c r="B175" i="8" s="1"/>
  <c r="D110" i="8" a="1"/>
  <c r="D110" i="8" s="1"/>
  <c r="B110" i="8" s="1"/>
  <c r="D119" i="8" a="1"/>
  <c r="D119" i="8" s="1"/>
  <c r="B119" i="8" s="1"/>
  <c r="D127" i="8" a="1"/>
  <c r="D127" i="8" s="1"/>
  <c r="B127" i="8" s="1"/>
  <c r="D20" i="8" a="1"/>
  <c r="D20" i="8" s="1"/>
  <c r="B20" i="8" s="1"/>
  <c r="D123" i="8" a="1"/>
  <c r="D123" i="8" s="1"/>
  <c r="B123" i="8" s="1"/>
  <c r="D87" i="8" a="1"/>
  <c r="D87" i="8" s="1"/>
  <c r="B87" i="8" s="1"/>
  <c r="D165" i="8" a="1"/>
  <c r="D165" i="8" s="1"/>
  <c r="B165" i="8" s="1"/>
  <c r="D79" i="8" a="1"/>
  <c r="D79" i="8" s="1"/>
  <c r="B79" i="8" s="1"/>
  <c r="D66" i="8" a="1"/>
  <c r="D66" i="8" s="1"/>
  <c r="B66" i="8" s="1"/>
  <c r="D90" i="8" a="1"/>
  <c r="D90" i="8" s="1"/>
  <c r="B90" i="8" s="1"/>
  <c r="D115" i="8" a="1"/>
  <c r="D115" i="8" s="1"/>
  <c r="B115" i="8" s="1"/>
  <c r="D148" i="8" a="1"/>
  <c r="D148" i="8" s="1"/>
  <c r="B148" i="8" s="1"/>
  <c r="D191" i="8" a="1"/>
  <c r="D191" i="8" s="1"/>
  <c r="B191" i="8" s="1"/>
  <c r="D15" i="8" a="1"/>
  <c r="D15" i="8" s="1"/>
  <c r="B15" i="8" s="1"/>
  <c r="D154" i="8" a="1"/>
  <c r="D154" i="8" s="1"/>
  <c r="B154" i="8" s="1"/>
  <c r="D166" i="8" a="1"/>
  <c r="D166" i="8" s="1"/>
  <c r="B166" i="8" s="1"/>
  <c r="D160" i="8" a="1"/>
  <c r="D160" i="8" s="1"/>
  <c r="B160" i="8" s="1"/>
  <c r="D86" i="8" a="1"/>
  <c r="D86" i="8" s="1"/>
  <c r="B86" i="8" s="1"/>
  <c r="D43" i="8" a="1"/>
  <c r="D43" i="8" s="1"/>
  <c r="B43" i="8" s="1"/>
  <c r="D212" i="8" a="1"/>
  <c r="D212" i="8" s="1"/>
  <c r="B212" i="8" s="1"/>
  <c r="D42" i="8" a="1"/>
  <c r="D42" i="8" s="1"/>
  <c r="B42" i="8" s="1"/>
  <c r="D70" i="8" a="1"/>
  <c r="D70" i="8" s="1"/>
  <c r="B70" i="8" s="1"/>
  <c r="D182" i="8" a="1"/>
  <c r="D182" i="8" s="1"/>
  <c r="B182" i="8" s="1"/>
  <c r="D157" i="8" a="1"/>
  <c r="D157" i="8" s="1"/>
  <c r="B157" i="8" s="1"/>
  <c r="D46" i="8" a="1"/>
  <c r="D46" i="8" s="1"/>
  <c r="B46" i="8" s="1"/>
  <c r="D122" i="8" a="1"/>
  <c r="D122" i="8" s="1"/>
  <c r="B122" i="8" s="1"/>
  <c r="D139" i="8" a="1"/>
  <c r="D139" i="8" s="1"/>
  <c r="B139" i="8" s="1"/>
  <c r="D51" i="8" a="1"/>
  <c r="D51" i="8" s="1"/>
  <c r="B51" i="8" s="1"/>
  <c r="D107" i="8" a="1"/>
  <c r="D107" i="8" s="1"/>
  <c r="B107" i="8" s="1"/>
  <c r="D134" i="8" a="1"/>
  <c r="D134" i="8" s="1"/>
  <c r="B134" i="8" s="1"/>
  <c r="D97" i="8" a="1"/>
  <c r="D97" i="8" s="1"/>
  <c r="B97" i="8" s="1"/>
  <c r="D39" i="8" a="1"/>
  <c r="D39" i="8" s="1"/>
  <c r="B39" i="8" s="1"/>
  <c r="D92" i="8" a="1"/>
  <c r="D92" i="8" s="1"/>
  <c r="B92" i="8" s="1"/>
  <c r="D23" i="8" a="1"/>
  <c r="D23" i="8" s="1"/>
  <c r="B23" i="8" s="1"/>
  <c r="D106" i="8" a="1"/>
  <c r="D106" i="8" s="1"/>
  <c r="B106" i="8" s="1"/>
  <c r="D136" i="8" a="1"/>
  <c r="D136" i="8" s="1"/>
  <c r="B136" i="8" s="1"/>
  <c r="D63" i="8" a="1"/>
  <c r="D63" i="8" s="1"/>
  <c r="B63" i="8" s="1"/>
  <c r="D76" i="8" a="1"/>
  <c r="D76" i="8" s="1"/>
  <c r="B76" i="8" s="1"/>
  <c r="D34" i="8" a="1"/>
  <c r="D34" i="8" s="1"/>
  <c r="B34" i="8" s="1"/>
  <c r="D161" i="8" a="1"/>
  <c r="D161" i="8" s="1"/>
  <c r="B161" i="8" s="1"/>
  <c r="D17" i="8" a="1"/>
  <c r="D17" i="8" s="1"/>
  <c r="B17" i="8" s="1"/>
  <c r="D27" i="8" a="1"/>
  <c r="D27" i="8" s="1"/>
  <c r="B27" i="8" s="1"/>
  <c r="D32" i="8" a="1"/>
  <c r="D32" i="8" s="1"/>
  <c r="B32" i="8" s="1"/>
  <c r="D98" i="8" a="1"/>
  <c r="D98" i="8" s="1"/>
  <c r="B98" i="8" s="1"/>
  <c r="D138" i="8" a="1"/>
  <c r="D138" i="8" s="1"/>
  <c r="B138" i="8" s="1"/>
  <c r="D21" i="8" a="1"/>
  <c r="D21" i="8" s="1"/>
  <c r="B21" i="8" s="1"/>
  <c r="D45" i="8" a="1"/>
  <c r="D45" i="8" s="1"/>
  <c r="B45" i="8" s="1"/>
  <c r="D89" i="8" a="1"/>
  <c r="D89" i="8" s="1"/>
  <c r="B89" i="8" s="1"/>
  <c r="D153" i="8" a="1"/>
  <c r="D153" i="8" s="1"/>
  <c r="B153" i="8" s="1"/>
  <c r="D29" i="8" a="1"/>
  <c r="D29" i="8" s="1"/>
  <c r="B29" i="8" s="1"/>
  <c r="D31" i="8" a="1"/>
  <c r="D31" i="8" s="1"/>
  <c r="B31" i="8" s="1"/>
  <c r="D67" i="8" a="1"/>
  <c r="D67" i="8" s="1"/>
  <c r="B67" i="8" s="1"/>
  <c r="D83" i="8" a="1"/>
  <c r="D83" i="8" s="1"/>
  <c r="B83" i="8" s="1"/>
  <c r="D47" i="8" a="1"/>
  <c r="D47" i="8" s="1"/>
  <c r="B47" i="8" s="1"/>
  <c r="D186" i="8" a="1"/>
  <c r="D186" i="8" s="1"/>
  <c r="B186" i="8" s="1"/>
  <c r="D140" i="8" a="1"/>
  <c r="D140" i="8" s="1"/>
  <c r="B140" i="8" s="1"/>
  <c r="D62" i="8" a="1"/>
  <c r="D62" i="8" s="1"/>
  <c r="B62" i="8" s="1"/>
  <c r="D221" i="8" a="1"/>
  <c r="D221" i="8" s="1"/>
  <c r="B221" i="8" s="1"/>
  <c r="D217" i="8" a="1"/>
  <c r="D217" i="8" s="1"/>
  <c r="B217" i="8" s="1"/>
  <c r="D213" i="8" a="1"/>
  <c r="D213" i="8" s="1"/>
  <c r="B213" i="8" s="1"/>
  <c r="D209" i="8" a="1"/>
  <c r="D209" i="8" s="1"/>
  <c r="B209" i="8" s="1"/>
  <c r="D205" i="8" a="1"/>
  <c r="D205" i="8" s="1"/>
  <c r="B205" i="8" s="1"/>
  <c r="D201" i="8" a="1"/>
  <c r="D201" i="8" s="1"/>
  <c r="B201" i="8" s="1"/>
  <c r="D197" i="8" a="1"/>
  <c r="D197" i="8" s="1"/>
  <c r="B197" i="8" s="1"/>
  <c r="D196" i="8" a="1"/>
  <c r="D196" i="8" s="1"/>
  <c r="B196" i="8" s="1"/>
  <c r="D193" i="8" a="1"/>
  <c r="D193" i="8" s="1"/>
  <c r="B193" i="8" s="1"/>
  <c r="D192" i="8" a="1"/>
  <c r="D192" i="8" s="1"/>
  <c r="B192" i="8" s="1"/>
  <c r="D189" i="8" a="1"/>
  <c r="D189" i="8" s="1"/>
  <c r="B189" i="8" s="1"/>
  <c r="D188" i="8" a="1"/>
  <c r="D188" i="8" s="1"/>
  <c r="B188" i="8" s="1"/>
  <c r="D185" i="8" a="1"/>
  <c r="D185" i="8" s="1"/>
  <c r="B185" i="8" s="1"/>
  <c r="D184" i="8" a="1"/>
  <c r="D184" i="8" s="1"/>
  <c r="B184" i="8" s="1"/>
  <c r="D181" i="8" a="1"/>
  <c r="D181" i="8" s="1"/>
  <c r="B181" i="8" s="1"/>
  <c r="D180" i="8" a="1"/>
  <c r="D180" i="8" s="1"/>
  <c r="B180" i="8" s="1"/>
  <c r="D144" i="8" a="1"/>
  <c r="D144" i="8" s="1"/>
  <c r="B144" i="8" s="1"/>
  <c r="D129" i="8" a="1"/>
  <c r="D129" i="8" s="1"/>
  <c r="B129" i="8" s="1"/>
  <c r="D116" i="8" a="1"/>
  <c r="D116" i="8" s="1"/>
  <c r="B116" i="8" s="1"/>
  <c r="D113" i="8" a="1"/>
  <c r="D113" i="8" s="1"/>
  <c r="B113" i="8" s="1"/>
  <c r="B71" i="8"/>
  <c r="D7" i="8" a="1"/>
  <c r="D7" i="8" s="1"/>
  <c r="B7" i="8" s="1"/>
  <c r="D9" i="8" a="1"/>
  <c r="D9" i="8" s="1"/>
  <c r="B9" i="8" s="1"/>
  <c r="D8" i="8" a="1"/>
  <c r="D8" i="8" s="1"/>
  <c r="B8" i="8" s="1"/>
  <c r="D11" i="8" a="1"/>
  <c r="D11" i="8" s="1"/>
  <c r="B11" i="8" s="1"/>
  <c r="D10" i="8" a="1"/>
  <c r="D10" i="8" s="1"/>
  <c r="B10" i="8" s="1"/>
  <c r="D6" i="8" a="1"/>
  <c r="D6" i="8" s="1"/>
  <c r="B6" i="8" s="1"/>
  <c r="B13" i="4"/>
  <c r="C14" i="3" s="1"/>
  <c r="B12" i="4"/>
  <c r="C13" i="3" s="1"/>
  <c r="B11" i="4"/>
  <c r="C12" i="3" s="1"/>
  <c r="B14" i="4"/>
  <c r="C15" i="3" s="1"/>
  <c r="B10" i="4"/>
  <c r="C11" i="3" s="1"/>
  <c r="B9" i="4"/>
  <c r="C10" i="3" s="1"/>
  <c r="F70" i="10" l="1" a="1"/>
  <c r="F70" i="10" s="1"/>
  <c r="F89" i="10" a="1"/>
  <c r="F89" i="10" s="1"/>
  <c r="F15" i="10" a="1"/>
  <c r="F15" i="10" s="1"/>
  <c r="F34" i="10" a="1"/>
  <c r="F34" i="10" s="1"/>
  <c r="F38" i="10" a="1"/>
  <c r="F38" i="10" s="1"/>
  <c r="F95" i="10" a="1"/>
  <c r="F95" i="10" s="1"/>
  <c r="F35" i="10" a="1"/>
  <c r="F35" i="10" s="1"/>
  <c r="F58" i="10" a="1"/>
  <c r="F58" i="10" s="1"/>
  <c r="F57" i="10" a="1"/>
  <c r="F57" i="10" s="1"/>
  <c r="F49" i="10" a="1"/>
  <c r="F49" i="10" s="1"/>
  <c r="F47" i="10" a="1"/>
  <c r="F47" i="10" s="1"/>
  <c r="F88" i="10" a="1"/>
  <c r="F88" i="10" s="1"/>
  <c r="F7" i="10" a="1"/>
  <c r="F7" i="10" s="1"/>
  <c r="F71" i="10" a="1"/>
  <c r="F71" i="10" s="1"/>
  <c r="F14" i="10" a="1"/>
  <c r="F14" i="10" s="1"/>
  <c r="F9" i="10" a="1"/>
  <c r="F9" i="10" s="1"/>
  <c r="F100" i="10" a="1"/>
  <c r="F100" i="10" s="1"/>
  <c r="F25" i="10" a="1"/>
  <c r="F25" i="10" s="1"/>
  <c r="F108" i="10" a="1"/>
  <c r="F108" i="10" s="1"/>
  <c r="F79" i="10" a="1"/>
  <c r="F79" i="10" s="1"/>
  <c r="F36" i="10" a="1"/>
  <c r="F36" i="10" s="1"/>
  <c r="F12" i="10" a="1"/>
  <c r="F12" i="10" s="1"/>
  <c r="F93" i="10" a="1"/>
  <c r="F93" i="10" s="1"/>
  <c r="F31" i="10" a="1"/>
  <c r="F31" i="10" s="1"/>
  <c r="F24" i="10" a="1"/>
  <c r="F24" i="10" s="1"/>
  <c r="F44" i="10" a="1"/>
  <c r="F44" i="10" s="1"/>
  <c r="F87" i="10" a="1"/>
  <c r="F87" i="10" s="1"/>
  <c r="F91" i="10" a="1"/>
  <c r="F91" i="10" s="1"/>
  <c r="F48" i="10" a="1"/>
  <c r="F48" i="10" s="1"/>
  <c r="F75" i="10" a="1"/>
  <c r="F75" i="10" s="1"/>
  <c r="F45" i="10" a="1"/>
  <c r="F45" i="10" s="1"/>
  <c r="F23" i="10" a="1"/>
  <c r="F23" i="10" s="1"/>
  <c r="F13" i="10" a="1"/>
  <c r="F13" i="10" s="1"/>
  <c r="F54" i="10" a="1"/>
  <c r="F54" i="10" s="1"/>
  <c r="F73" i="10" a="1"/>
  <c r="F73" i="10" s="1"/>
  <c r="F81" i="10" a="1"/>
  <c r="F81" i="10" s="1"/>
  <c r="F94" i="10" a="1"/>
  <c r="F94" i="10" s="1"/>
  <c r="F59" i="10" a="1"/>
  <c r="F59" i="10" s="1"/>
  <c r="F53" i="10" a="1"/>
  <c r="F53" i="10" s="1"/>
  <c r="F63" i="10" a="1"/>
  <c r="F63" i="10" s="1"/>
  <c r="F77" i="10" a="1"/>
  <c r="F77" i="10" s="1"/>
  <c r="F5" i="1" a="1"/>
  <c r="F5" i="1" s="1"/>
  <c r="F72" i="10" a="1"/>
  <c r="F72" i="10" s="1"/>
  <c r="F109" i="10" a="1"/>
  <c r="F109" i="10" s="1"/>
  <c r="F10" i="10" a="1"/>
  <c r="F10" i="10" s="1"/>
  <c r="F41" i="10" a="1"/>
  <c r="F41" i="10" s="1"/>
  <c r="F51" i="10" a="1"/>
  <c r="F51" i="10" s="1"/>
  <c r="F96" i="10" a="1"/>
  <c r="F96" i="10" s="1"/>
  <c r="F29" i="10" a="1"/>
  <c r="F29" i="10" s="1"/>
  <c r="F62" i="10" a="1"/>
  <c r="F62" i="10" s="1"/>
  <c r="F86" i="10" a="1"/>
  <c r="F86" i="10" s="1"/>
  <c r="F106" i="10" a="1"/>
  <c r="F106" i="10" s="1"/>
  <c r="F61" i="10" a="1"/>
  <c r="F61" i="10" s="1"/>
  <c r="F33" i="10" a="1"/>
  <c r="F33" i="10" s="1"/>
  <c r="F64" i="10" a="1"/>
  <c r="F64" i="10" s="1"/>
  <c r="F104" i="10" a="1"/>
  <c r="F104" i="10" s="1"/>
  <c r="F68" i="10" a="1"/>
  <c r="F68" i="10" s="1"/>
  <c r="F55" i="10" a="1"/>
  <c r="F55" i="10" s="1"/>
  <c r="F60" i="10" a="1"/>
  <c r="F60" i="10" s="1"/>
  <c r="F18" i="10" a="1"/>
  <c r="F18" i="10" s="1"/>
  <c r="F84" i="10" a="1"/>
  <c r="F84" i="10" s="1"/>
  <c r="F107" i="10" a="1"/>
  <c r="F107" i="10" s="1"/>
  <c r="F80" i="10" a="1"/>
  <c r="F80" i="10" s="1"/>
  <c r="F37" i="10" a="1"/>
  <c r="F37" i="10" s="1"/>
  <c r="F22" i="10" a="1"/>
  <c r="F22" i="10" s="1"/>
  <c r="F26" i="10" a="1"/>
  <c r="F26" i="10" s="1"/>
  <c r="F40" i="10" a="1"/>
  <c r="F40" i="10" s="1"/>
  <c r="F50" i="10" a="1"/>
  <c r="F50" i="10" s="1"/>
  <c r="F46" i="10" a="1"/>
  <c r="F46" i="10" s="1"/>
  <c r="F32" i="10" a="1"/>
  <c r="F32" i="10" s="1"/>
  <c r="F43" i="10" a="1"/>
  <c r="F43" i="10" s="1"/>
  <c r="F69" i="10" a="1"/>
  <c r="F69" i="10" s="1"/>
  <c r="F42" i="10" a="1"/>
  <c r="F42" i="10" s="1"/>
  <c r="F102" i="10" a="1"/>
  <c r="F102" i="10" s="1"/>
  <c r="F105" i="10" a="1"/>
  <c r="F105" i="10" s="1"/>
  <c r="F92" i="10" a="1"/>
  <c r="F92" i="10" s="1"/>
  <c r="F76" i="10" a="1"/>
  <c r="F76" i="10" s="1"/>
  <c r="F78" i="10" a="1"/>
  <c r="F78" i="10" s="1"/>
  <c r="F19" i="10" a="1"/>
  <c r="F19" i="10" s="1"/>
  <c r="F52" i="10" a="1"/>
  <c r="F52" i="10" s="1"/>
  <c r="F27" i="10" a="1"/>
  <c r="F27" i="10" s="1"/>
  <c r="F83" i="10" a="1"/>
  <c r="F83" i="10" s="1"/>
  <c r="F8" i="10" a="1"/>
  <c r="F8" i="10" s="1"/>
  <c r="F90" i="10" a="1"/>
  <c r="F90" i="10" s="1"/>
  <c r="F39" i="10" a="1"/>
  <c r="F39" i="10" s="1"/>
  <c r="F99" i="10" a="1"/>
  <c r="F99" i="10" s="1"/>
  <c r="F30" i="10" a="1"/>
  <c r="F30" i="10" s="1"/>
  <c r="F28" i="10" a="1"/>
  <c r="F28" i="10" s="1"/>
  <c r="F6" i="10" a="1"/>
  <c r="F6" i="10" s="1"/>
  <c r="F21" i="10" a="1"/>
  <c r="F21" i="10" s="1"/>
  <c r="F20" i="10" a="1"/>
  <c r="F20" i="10" s="1"/>
  <c r="F74" i="10" a="1"/>
  <c r="F74" i="10" s="1"/>
  <c r="F82" i="10" a="1"/>
  <c r="F82" i="10" s="1"/>
  <c r="F17" i="10" a="1"/>
  <c r="F17" i="10" s="1"/>
  <c r="F65" i="10" a="1"/>
  <c r="F65" i="10" s="1"/>
  <c r="F98" i="10" a="1"/>
  <c r="F98" i="10" s="1"/>
  <c r="F11" i="10" a="1"/>
  <c r="F11" i="10" s="1"/>
  <c r="F66" i="10" a="1"/>
  <c r="F66" i="10" s="1"/>
  <c r="F56" i="10" a="1"/>
  <c r="F56" i="10" s="1"/>
  <c r="F16" i="10" a="1"/>
  <c r="F16" i="10" s="1"/>
  <c r="F67" i="10" a="1"/>
  <c r="F67" i="10" s="1"/>
  <c r="F85" i="10" a="1"/>
  <c r="F85" i="10" s="1"/>
  <c r="F97" i="10" a="1"/>
  <c r="F97" i="10" s="1"/>
  <c r="F103" i="10" a="1"/>
  <c r="F103" i="10" s="1"/>
  <c r="F101" i="10" a="1"/>
  <c r="F101" i="10" s="1"/>
  <c r="F13" i="1" a="1"/>
  <c r="F13" i="1" s="1"/>
  <c r="F45" i="1" a="1"/>
  <c r="F45" i="1" s="1"/>
  <c r="F29" i="1" a="1"/>
  <c r="F29" i="1" s="1"/>
  <c r="F15" i="1" a="1"/>
  <c r="F15" i="1" s="1"/>
  <c r="F6" i="1" a="1"/>
  <c r="F6" i="1" s="1"/>
  <c r="F19" i="1" a="1"/>
  <c r="F19" i="1" s="1"/>
  <c r="F10" i="1" a="1"/>
  <c r="F10" i="1" s="1"/>
  <c r="F20" i="1" a="1"/>
  <c r="F20" i="1" s="1"/>
  <c r="F44" i="1" a="1"/>
  <c r="F44" i="1" s="1"/>
  <c r="F31" i="1" a="1"/>
  <c r="F31" i="1" s="1"/>
  <c r="F25" i="1" a="1"/>
  <c r="F25" i="1" s="1"/>
  <c r="F23" i="1" a="1"/>
  <c r="F23" i="1" s="1"/>
  <c r="F42" i="1" a="1"/>
  <c r="F42" i="1" s="1"/>
  <c r="F16" i="1" a="1"/>
  <c r="F16" i="1" s="1"/>
  <c r="F7" i="1" a="1"/>
  <c r="F7" i="1" s="1"/>
  <c r="F27" i="1" a="1"/>
  <c r="F27" i="1" s="1"/>
  <c r="F14" i="1" a="1"/>
  <c r="F14" i="1" s="1"/>
  <c r="F28" i="1" a="1"/>
  <c r="F28" i="1" s="1"/>
  <c r="F30" i="1" a="1"/>
  <c r="F30" i="1" s="1"/>
  <c r="F17" i="1" a="1"/>
  <c r="F17" i="1" s="1"/>
  <c r="F47" i="1" a="1"/>
  <c r="F47" i="1" s="1"/>
  <c r="F18" i="1" a="1"/>
  <c r="F18" i="1" s="1"/>
  <c r="F26" i="1" a="1"/>
  <c r="F26" i="1" s="1"/>
  <c r="F21" i="1" a="1"/>
  <c r="F21" i="1" s="1"/>
  <c r="F46" i="1" a="1"/>
  <c r="F46" i="1" s="1"/>
  <c r="F37" i="1" a="1"/>
  <c r="F37" i="1" s="1"/>
  <c r="F24" i="1" a="1"/>
  <c r="F24" i="1" s="1"/>
  <c r="F38" i="1" a="1"/>
  <c r="F38" i="1" s="1"/>
  <c r="F32" i="1" a="1"/>
  <c r="F32" i="1" s="1"/>
  <c r="F22" i="1" a="1"/>
  <c r="F22" i="1" s="1"/>
  <c r="F9" i="1" a="1"/>
  <c r="F9" i="1" s="1"/>
  <c r="F36" i="1" a="1"/>
  <c r="F36" i="1" s="1"/>
  <c r="F33" i="1" a="1"/>
  <c r="F33" i="1" s="1"/>
  <c r="F40" i="1" a="1"/>
  <c r="F40" i="1" s="1"/>
  <c r="F35" i="1" a="1"/>
  <c r="F35" i="1" s="1"/>
  <c r="F8" i="1" a="1"/>
  <c r="F8" i="1" s="1"/>
  <c r="F12" i="1" a="1"/>
  <c r="F12" i="1" s="1"/>
  <c r="F11" i="1" a="1"/>
  <c r="F11" i="1" s="1"/>
  <c r="F34" i="1" a="1"/>
  <c r="F34" i="1" s="1"/>
  <c r="F43" i="1" a="1"/>
  <c r="F43" i="1" s="1"/>
  <c r="F41" i="1" a="1"/>
  <c r="F41" i="1" s="1"/>
  <c r="F39" i="1" a="1"/>
  <c r="F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<sst xmlns="http://schemas.openxmlformats.org/spreadsheetml/2006/main" count="755" uniqueCount="620">
  <si>
    <t>dni</t>
  </si>
  <si>
    <t>nombre</t>
  </si>
  <si>
    <t>telefono</t>
  </si>
  <si>
    <t>direccion</t>
  </si>
  <si>
    <t>salario</t>
  </si>
  <si>
    <t>12345678A</t>
  </si>
  <si>
    <t>Madrid</t>
  </si>
  <si>
    <t>23456789B</t>
  </si>
  <si>
    <t>Calle San Juan 5</t>
  </si>
  <si>
    <t>Barcelona</t>
  </si>
  <si>
    <t>matricula</t>
  </si>
  <si>
    <t>modelo</t>
  </si>
  <si>
    <t>tipo</t>
  </si>
  <si>
    <t>potencia</t>
  </si>
  <si>
    <t>1234AAA</t>
  </si>
  <si>
    <t>Volvo FH</t>
  </si>
  <si>
    <t>450 CV</t>
  </si>
  <si>
    <t>Scania R</t>
  </si>
  <si>
    <t>500 CV</t>
  </si>
  <si>
    <t>paquete_codigo</t>
  </si>
  <si>
    <t>fecha</t>
  </si>
  <si>
    <t>codigo</t>
  </si>
  <si>
    <t>descripcion</t>
  </si>
  <si>
    <t>destinatario</t>
  </si>
  <si>
    <t>MAD</t>
  </si>
  <si>
    <t>DVD</t>
  </si>
  <si>
    <t>BAR</t>
  </si>
  <si>
    <t>ACO</t>
  </si>
  <si>
    <t>A Coruña</t>
  </si>
  <si>
    <t>ALA</t>
  </si>
  <si>
    <t>Álava</t>
  </si>
  <si>
    <t>ALB</t>
  </si>
  <si>
    <t>Albacete</t>
  </si>
  <si>
    <t>ALI</t>
  </si>
  <si>
    <t>Alicante</t>
  </si>
  <si>
    <t>ALM</t>
  </si>
  <si>
    <t>Almería</t>
  </si>
  <si>
    <t>AVA</t>
  </si>
  <si>
    <t>Ávila</t>
  </si>
  <si>
    <t>BAD</t>
  </si>
  <si>
    <t>Badajoz</t>
  </si>
  <si>
    <t>BAL</t>
  </si>
  <si>
    <t>Baleares</t>
  </si>
  <si>
    <t>BUR</t>
  </si>
  <si>
    <t>Burgos</t>
  </si>
  <si>
    <t>CAC</t>
  </si>
  <si>
    <t>Cáceres</t>
  </si>
  <si>
    <t>CAD</t>
  </si>
  <si>
    <t>Cádiz</t>
  </si>
  <si>
    <t>CAS</t>
  </si>
  <si>
    <t>Castellón</t>
  </si>
  <si>
    <t>CEU</t>
  </si>
  <si>
    <t>Ceuta</t>
  </si>
  <si>
    <t>CIU</t>
  </si>
  <si>
    <t>Ciudad Real</t>
  </si>
  <si>
    <t>COR</t>
  </si>
  <si>
    <t>Córdoba</t>
  </si>
  <si>
    <t>CUE</t>
  </si>
  <si>
    <t>Cuenca</t>
  </si>
  <si>
    <t>GIP</t>
  </si>
  <si>
    <t>Girona</t>
  </si>
  <si>
    <t>GRA</t>
  </si>
  <si>
    <t>Granada</t>
  </si>
  <si>
    <t>GUA</t>
  </si>
  <si>
    <t>Guadalajara</t>
  </si>
  <si>
    <t>GUI</t>
  </si>
  <si>
    <t>Guipúzcoa</t>
  </si>
  <si>
    <t>HUE</t>
  </si>
  <si>
    <t>Huesca</t>
  </si>
  <si>
    <t>HUV</t>
  </si>
  <si>
    <t>Huelva</t>
  </si>
  <si>
    <t>JAE</t>
  </si>
  <si>
    <t>Jaén</t>
  </si>
  <si>
    <t>LAG</t>
  </si>
  <si>
    <t>Lugo</t>
  </si>
  <si>
    <t>LEP</t>
  </si>
  <si>
    <t>León</t>
  </si>
  <si>
    <t>LLE</t>
  </si>
  <si>
    <t>Lleida</t>
  </si>
  <si>
    <t>LOG</t>
  </si>
  <si>
    <t>La Rioja</t>
  </si>
  <si>
    <t>LPA</t>
  </si>
  <si>
    <t>Las Palmas</t>
  </si>
  <si>
    <t>MAL</t>
  </si>
  <si>
    <t>Málaga</t>
  </si>
  <si>
    <t>MEL</t>
  </si>
  <si>
    <t>Melilla</t>
  </si>
  <si>
    <t>MUR</t>
  </si>
  <si>
    <t>Murcia</t>
  </si>
  <si>
    <t>NAV</t>
  </si>
  <si>
    <t>Navarra</t>
  </si>
  <si>
    <t>ORU</t>
  </si>
  <si>
    <t>Ourense</t>
  </si>
  <si>
    <t>ORE</t>
  </si>
  <si>
    <t>Orense</t>
  </si>
  <si>
    <t>PAL</t>
  </si>
  <si>
    <t>Palencia</t>
  </si>
  <si>
    <t>PON</t>
  </si>
  <si>
    <t>Pontevedra</t>
  </si>
  <si>
    <t>SAL</t>
  </si>
  <si>
    <t>Salamanca</t>
  </si>
  <si>
    <t>SEG</t>
  </si>
  <si>
    <t>Segovia</t>
  </si>
  <si>
    <t>SEV</t>
  </si>
  <si>
    <t>Sevilla</t>
  </si>
  <si>
    <t>SOR</t>
  </si>
  <si>
    <t>Soria</t>
  </si>
  <si>
    <t>STA</t>
  </si>
  <si>
    <t>Santa Cruz de Tenerife</t>
  </si>
  <si>
    <t>TAL</t>
  </si>
  <si>
    <t>Tarragona</t>
  </si>
  <si>
    <t>TER</t>
  </si>
  <si>
    <t>Teruel</t>
  </si>
  <si>
    <t>TOE</t>
  </si>
  <si>
    <t>Toledo</t>
  </si>
  <si>
    <t>VAH</t>
  </si>
  <si>
    <t>Valencia</t>
  </si>
  <si>
    <t>VLL</t>
  </si>
  <si>
    <t>Valladolid</t>
  </si>
  <si>
    <t>ZAM</t>
  </si>
  <si>
    <t>Zamora</t>
  </si>
  <si>
    <t>ZAR</t>
  </si>
  <si>
    <t>Zaragoza</t>
  </si>
  <si>
    <t>Ana</t>
  </si>
  <si>
    <t>García</t>
  </si>
  <si>
    <t>Carlos</t>
  </si>
  <si>
    <t>López</t>
  </si>
  <si>
    <t>Laura</t>
  </si>
  <si>
    <t>Martínez</t>
  </si>
  <si>
    <t>Juan</t>
  </si>
  <si>
    <t>Rodríguez</t>
  </si>
  <si>
    <t>Isabel</t>
  </si>
  <si>
    <t>Sánchez</t>
  </si>
  <si>
    <t>Pedro</t>
  </si>
  <si>
    <t>Pérez</t>
  </si>
  <si>
    <t>Sofía</t>
  </si>
  <si>
    <t>Gómez</t>
  </si>
  <si>
    <t>Sergio</t>
  </si>
  <si>
    <t>Fernández</t>
  </si>
  <si>
    <t>Marta</t>
  </si>
  <si>
    <t>González</t>
  </si>
  <si>
    <t>Alejandro</t>
  </si>
  <si>
    <t>Torres</t>
  </si>
  <si>
    <t>Paula</t>
  </si>
  <si>
    <t>Ruiz</t>
  </si>
  <si>
    <t>Álvaro</t>
  </si>
  <si>
    <t>Hernández</t>
  </si>
  <si>
    <t>Lucía</t>
  </si>
  <si>
    <t>Díaz</t>
  </si>
  <si>
    <t>Jorge</t>
  </si>
  <si>
    <t>Moreno</t>
  </si>
  <si>
    <t>Carmen</t>
  </si>
  <si>
    <t>Muñoz</t>
  </si>
  <si>
    <t>Miguel</t>
  </si>
  <si>
    <t>Álvarez</t>
  </si>
  <si>
    <t>Natalia</t>
  </si>
  <si>
    <t>Romero</t>
  </si>
  <si>
    <t>David</t>
  </si>
  <si>
    <t>Jiménez</t>
  </si>
  <si>
    <t>Raquel</t>
  </si>
  <si>
    <t>Alonso</t>
  </si>
  <si>
    <t>Francisco</t>
  </si>
  <si>
    <t>Navarro</t>
  </si>
  <si>
    <t>Columna1</t>
  </si>
  <si>
    <t>James</t>
  </si>
  <si>
    <t>Smith</t>
  </si>
  <si>
    <t>Emily</t>
  </si>
  <si>
    <t>Johnson</t>
  </si>
  <si>
    <t>William</t>
  </si>
  <si>
    <t>Brown</t>
  </si>
  <si>
    <t>Charlotte</t>
  </si>
  <si>
    <t>Davis</t>
  </si>
  <si>
    <t>Benjamin</t>
  </si>
  <si>
    <t>Miller</t>
  </si>
  <si>
    <t>Olivia</t>
  </si>
  <si>
    <t>Wilson</t>
  </si>
  <si>
    <t>Ethan</t>
  </si>
  <si>
    <t>Moore</t>
  </si>
  <si>
    <t>Emma</t>
  </si>
  <si>
    <t>Taylor</t>
  </si>
  <si>
    <t>Alexander</t>
  </si>
  <si>
    <t>Anderson</t>
  </si>
  <si>
    <t>Sophia</t>
  </si>
  <si>
    <t>Jackson</t>
  </si>
  <si>
    <t>54321098B</t>
  </si>
  <si>
    <t>98765432C</t>
  </si>
  <si>
    <t>45678901D</t>
  </si>
  <si>
    <t>23456789E</t>
  </si>
  <si>
    <t>89012345F</t>
  </si>
  <si>
    <t>67890123G</t>
  </si>
  <si>
    <t>34567890H</t>
  </si>
  <si>
    <t>01234567J</t>
  </si>
  <si>
    <t>89012345K</t>
  </si>
  <si>
    <t>56789012L</t>
  </si>
  <si>
    <t>23456789M</t>
  </si>
  <si>
    <t>90123456N</t>
  </si>
  <si>
    <t>78901234P</t>
  </si>
  <si>
    <t>45678901Q</t>
  </si>
  <si>
    <t>23456789R</t>
  </si>
  <si>
    <t>01234567S</t>
  </si>
  <si>
    <t>78901234T</t>
  </si>
  <si>
    <t>56789012U</t>
  </si>
  <si>
    <t>34567890V</t>
  </si>
  <si>
    <t>12345678W</t>
  </si>
  <si>
    <t>90123456X</t>
  </si>
  <si>
    <t>78901234Y</t>
  </si>
  <si>
    <t>56789012Z</t>
  </si>
  <si>
    <t>34567890A1</t>
  </si>
  <si>
    <t>12345678B1</t>
  </si>
  <si>
    <t>90123456C1</t>
  </si>
  <si>
    <t>78901234D1</t>
  </si>
  <si>
    <t>34567890F1</t>
  </si>
  <si>
    <t>12345678G1</t>
  </si>
  <si>
    <t>90123456H1</t>
  </si>
  <si>
    <t>78901234J1</t>
  </si>
  <si>
    <t>56789012K1</t>
  </si>
  <si>
    <t>34567890L1</t>
  </si>
  <si>
    <t>12345678M1</t>
  </si>
  <si>
    <t>90123456N1</t>
  </si>
  <si>
    <t>78901234P1</t>
  </si>
  <si>
    <t>56789012Q1</t>
  </si>
  <si>
    <t>34567890R1</t>
  </si>
  <si>
    <t>12345678S1</t>
  </si>
  <si>
    <t>Avenida del Sol 12</t>
  </si>
  <si>
    <t>Calle de la Luna 25</t>
  </si>
  <si>
    <t>Calle del Mar 8</t>
  </si>
  <si>
    <t>Calle de la Primavera 3</t>
  </si>
  <si>
    <t>Calle del Otoño 14</t>
  </si>
  <si>
    <t>Avenida del Viento 9</t>
  </si>
  <si>
    <t>Calle de la Montaña 21</t>
  </si>
  <si>
    <t>Avenida del Río 4</t>
  </si>
  <si>
    <t>Calle del Bosque 17</t>
  </si>
  <si>
    <t>Calle de la Playa 6</t>
  </si>
  <si>
    <t>Avenida del Campo 29</t>
  </si>
  <si>
    <t>Calle de la Ciudad 1</t>
  </si>
  <si>
    <t>Avenida de la Estrella 11</t>
  </si>
  <si>
    <t>Calle del Camino 7</t>
  </si>
  <si>
    <t>Calle del Puente 2</t>
  </si>
  <si>
    <t>Avenida del Parque 18</t>
  </si>
  <si>
    <t>Calle de la Colina 33</t>
  </si>
  <si>
    <t>Avenida de la Costa 27</t>
  </si>
  <si>
    <t>Calle del Desierto 16</t>
  </si>
  <si>
    <t>Calle de la Niebla 23</t>
  </si>
  <si>
    <t>Avenida de la Luna Nueva 10</t>
  </si>
  <si>
    <t>Calle de la Esperanza 13</t>
  </si>
  <si>
    <t>Avenida del Sueño 22</t>
  </si>
  <si>
    <t>Calle del Amor 19</t>
  </si>
  <si>
    <t>Calle de la Justicia 20</t>
  </si>
  <si>
    <t>Avenida de la Libertad 26</t>
  </si>
  <si>
    <t>Calle del Misterio 15</t>
  </si>
  <si>
    <t>Calle de la Verdad 30</t>
  </si>
  <si>
    <t>Avenida de la Alegría 31</t>
  </si>
  <si>
    <t>Calle del Silencio 24</t>
  </si>
  <si>
    <t>Avenida del Humor 28</t>
  </si>
  <si>
    <t>Calle de la Imaginación 32</t>
  </si>
  <si>
    <t>Calle del Pensamiento 35</t>
  </si>
  <si>
    <t>Avenida del Conocimiento 40</t>
  </si>
  <si>
    <t>Calle del Deseo 37</t>
  </si>
  <si>
    <t>Avenida de la Felicidad 42</t>
  </si>
  <si>
    <t>Calle de la Confianza 39</t>
  </si>
  <si>
    <t>Calle del Perdón 36</t>
  </si>
  <si>
    <t>Avenida de la Paciencia 43</t>
  </si>
  <si>
    <t>Calle del Coraje 45</t>
  </si>
  <si>
    <t>Calle de la Gratitud 48</t>
  </si>
  <si>
    <t>Avenida de la Sabiduría 49</t>
  </si>
  <si>
    <t>555-123-4567</t>
  </si>
  <si>
    <t>555-234-5678</t>
  </si>
  <si>
    <t>555-345-6789</t>
  </si>
  <si>
    <t>555-456-7890</t>
  </si>
  <si>
    <t>555-567-8901</t>
  </si>
  <si>
    <t>555-678-9012</t>
  </si>
  <si>
    <t>555-789-0123</t>
  </si>
  <si>
    <t>555-890-1234</t>
  </si>
  <si>
    <t>555-901-2345</t>
  </si>
  <si>
    <t>555-012-3456</t>
  </si>
  <si>
    <t>camión asignado</t>
  </si>
  <si>
    <t>2345BBB</t>
  </si>
  <si>
    <t>3456CCC</t>
  </si>
  <si>
    <t>4567DDD</t>
  </si>
  <si>
    <t>5678EEE</t>
  </si>
  <si>
    <t>6789FFF</t>
  </si>
  <si>
    <t>7890GGG</t>
  </si>
  <si>
    <t>8901HHH</t>
  </si>
  <si>
    <t>9012III</t>
  </si>
  <si>
    <t>0123JJJ</t>
  </si>
  <si>
    <t>1234KKK</t>
  </si>
  <si>
    <t>2345LLL</t>
  </si>
  <si>
    <t>3456MMM</t>
  </si>
  <si>
    <t>4567NNN</t>
  </si>
  <si>
    <t>5678OOO</t>
  </si>
  <si>
    <t>6789PPP</t>
  </si>
  <si>
    <t>7890QQQ</t>
  </si>
  <si>
    <t>8901RRR</t>
  </si>
  <si>
    <t>9012SSS</t>
  </si>
  <si>
    <t>0123TTT</t>
  </si>
  <si>
    <t>1234UUU</t>
  </si>
  <si>
    <t>2345VVV</t>
  </si>
  <si>
    <t>3456WWW</t>
  </si>
  <si>
    <t>4567XXX</t>
  </si>
  <si>
    <t>5678YYY</t>
  </si>
  <si>
    <t>6789ZZZ</t>
  </si>
  <si>
    <t>7890AAA</t>
  </si>
  <si>
    <t>8901BBB</t>
  </si>
  <si>
    <t>9012CCC</t>
  </si>
  <si>
    <t>0123DDD</t>
  </si>
  <si>
    <t>1234EEE</t>
  </si>
  <si>
    <t>2345FFF</t>
  </si>
  <si>
    <t>3456GGG</t>
  </si>
  <si>
    <t>4567HHH</t>
  </si>
  <si>
    <t>5678III</t>
  </si>
  <si>
    <t>6789JJJ</t>
  </si>
  <si>
    <t>7890KKK</t>
  </si>
  <si>
    <t>8901LLL</t>
  </si>
  <si>
    <t>9012MMM</t>
  </si>
  <si>
    <t>0123NNN</t>
  </si>
  <si>
    <t>1234OOO</t>
  </si>
  <si>
    <t>2345PPP</t>
  </si>
  <si>
    <t>3456QQQ</t>
  </si>
  <si>
    <t>Película</t>
  </si>
  <si>
    <t>Camisa</t>
  </si>
  <si>
    <t>Botella de agua</t>
  </si>
  <si>
    <t>Reloj de pulsera</t>
  </si>
  <si>
    <t>Lápiz</t>
  </si>
  <si>
    <t>Bolsa de papel</t>
  </si>
  <si>
    <t>Mochila</t>
  </si>
  <si>
    <t>Gafas de sol</t>
  </si>
  <si>
    <t>Cepillo de dientes</t>
  </si>
  <si>
    <t>Perfume</t>
  </si>
  <si>
    <t>Vino</t>
  </si>
  <si>
    <t>Pintura</t>
  </si>
  <si>
    <t>Zapatos</t>
  </si>
  <si>
    <t>Silla</t>
  </si>
  <si>
    <t>Bolígrafo</t>
  </si>
  <si>
    <t>Maleta</t>
  </si>
  <si>
    <t>Guitarra</t>
  </si>
  <si>
    <t>Jabón de manos</t>
  </si>
  <si>
    <t>Pelota de fútbol</t>
  </si>
  <si>
    <t>Auriculares</t>
  </si>
  <si>
    <t>Planta</t>
  </si>
  <si>
    <t>Lámpara</t>
  </si>
  <si>
    <t>Caja de herramientas</t>
  </si>
  <si>
    <t>Calcetines</t>
  </si>
  <si>
    <t>Crema hidratante</t>
  </si>
  <si>
    <t>Taza</t>
  </si>
  <si>
    <t>Papel higiénico</t>
  </si>
  <si>
    <t>Cámara</t>
  </si>
  <si>
    <t>Toalla</t>
  </si>
  <si>
    <t>Pantalones</t>
  </si>
  <si>
    <t>Paquete de galletas</t>
  </si>
  <si>
    <t>Altavoz</t>
  </si>
  <si>
    <t>Teclado</t>
  </si>
  <si>
    <t>Botas</t>
  </si>
  <si>
    <t>Manta</t>
  </si>
  <si>
    <t>Flores artificiales</t>
  </si>
  <si>
    <t>Teléfono móvil</t>
  </si>
  <si>
    <t>Cerveza</t>
  </si>
  <si>
    <t>Videojuego</t>
  </si>
  <si>
    <t>Agua tónica</t>
  </si>
  <si>
    <t>Patineta</t>
  </si>
  <si>
    <t>Monitor</t>
  </si>
  <si>
    <t>Carcasa para móvil</t>
  </si>
  <si>
    <t>Cuaderno</t>
  </si>
  <si>
    <t>Fiambrera</t>
  </si>
  <si>
    <t>Cinta de correr</t>
  </si>
  <si>
    <t>Calcetines deportivos</t>
  </si>
  <si>
    <t>Cargador</t>
  </si>
  <si>
    <t>Linterna</t>
  </si>
  <si>
    <t>Bolsa de patatas fritas</t>
  </si>
  <si>
    <t>Taza de café</t>
  </si>
  <si>
    <t>Juego de mesa</t>
  </si>
  <si>
    <t>Cuadro</t>
  </si>
  <si>
    <t>Martillo</t>
  </si>
  <si>
    <t>Plancha</t>
  </si>
  <si>
    <t>Sombrero</t>
  </si>
  <si>
    <t>Sombrilla</t>
  </si>
  <si>
    <t>Gorro</t>
  </si>
  <si>
    <t>Pintalabios</t>
  </si>
  <si>
    <t>Tarjeta de memoria</t>
  </si>
  <si>
    <t>Cepillo para el pelo</t>
  </si>
  <si>
    <t>Árbol de Navidad</t>
  </si>
  <si>
    <t>Batería externa</t>
  </si>
  <si>
    <t>Pendientes</t>
  </si>
  <si>
    <t>Toalla de playa</t>
  </si>
  <si>
    <t>Bolsa de hielo</t>
  </si>
  <si>
    <t>Disco duro externo</t>
  </si>
  <si>
    <t>Horno</t>
  </si>
  <si>
    <t>Caja de bombones</t>
  </si>
  <si>
    <t>Tableta de chocolate</t>
  </si>
  <si>
    <t>Raqueta de tenis</t>
  </si>
  <si>
    <t>Saco de dormir</t>
  </si>
  <si>
    <t>Guitarra eléctrica</t>
  </si>
  <si>
    <t>Reloj de pared</t>
  </si>
  <si>
    <t>Caja de música</t>
  </si>
  <si>
    <t>Sombrero de copa</t>
  </si>
  <si>
    <t>Candelabro</t>
  </si>
  <si>
    <t>Escultura</t>
  </si>
  <si>
    <t>Bol de frutas</t>
  </si>
  <si>
    <t>Cuchillo</t>
  </si>
  <si>
    <t>Taburete</t>
  </si>
  <si>
    <t>Álbum de fotos</t>
  </si>
  <si>
    <t>Bote de pintura</t>
  </si>
  <si>
    <t>Telescopio</t>
  </si>
  <si>
    <t>Paraguas</t>
  </si>
  <si>
    <t>Batidora</t>
  </si>
  <si>
    <t>Planta de interior</t>
  </si>
  <si>
    <t>Patines en línea</t>
  </si>
  <si>
    <t>Tostadora</t>
  </si>
  <si>
    <t>Caja fuerte</t>
  </si>
  <si>
    <t>Tarjeta de crédito</t>
  </si>
  <si>
    <t>Libreta de notas</t>
  </si>
  <si>
    <t>id_calle</t>
  </si>
  <si>
    <t>Avenida de la Luna 23</t>
  </si>
  <si>
    <t>Calle del Sol 12</t>
  </si>
  <si>
    <t>Plaza Mayor 7</t>
  </si>
  <si>
    <t>Calle de la Montaña 18</t>
  </si>
  <si>
    <t>Avenida del Mar 42</t>
  </si>
  <si>
    <t>Calle de la Rosa 8</t>
  </si>
  <si>
    <t>Paseo de la Victoria 33</t>
  </si>
  <si>
    <t>Calle del Prado 6</t>
  </si>
  <si>
    <t>Avenida de la Libertad 21</t>
  </si>
  <si>
    <t>Calle del Río 16</t>
  </si>
  <si>
    <t>Plaza de la Constitución 3</t>
  </si>
  <si>
    <t>Calle del Bosque 11</t>
  </si>
  <si>
    <t>Avenida de los Álamos 9</t>
  </si>
  <si>
    <t>Calle de la Fuente 27</t>
  </si>
  <si>
    <t>Paseo de la Alameda 14</t>
  </si>
  <si>
    <t>Calle de la Luna 2</t>
  </si>
  <si>
    <t>Avenida del Parque 29</t>
  </si>
  <si>
    <t>Calle del Olivo 4</t>
  </si>
  <si>
    <t>Plaza de la Fuente 1</t>
  </si>
  <si>
    <t>Calle de la Esperanza 17</t>
  </si>
  <si>
    <t>Avenida de la Sierra 13</t>
  </si>
  <si>
    <t>Calle del Pino 22</t>
  </si>
  <si>
    <t>Paseo de la Playa 38</t>
  </si>
  <si>
    <t>Calle de la Estrella 7</t>
  </si>
  <si>
    <t>Avenida de la Palmera 25</t>
  </si>
  <si>
    <t>Calle del Mar 19</t>
  </si>
  <si>
    <t>Plaza del Ayuntamiento 12</t>
  </si>
  <si>
    <t>Calle de la Mancha 31</t>
  </si>
  <si>
    <t>Avenida de la Estación 8</t>
  </si>
  <si>
    <t>Calle del Acebo 26</t>
  </si>
  <si>
    <t>Paseo de la Victoria 15</t>
  </si>
  <si>
    <t>Calle de la Caridad 10</t>
  </si>
  <si>
    <t>Avenida del Cid 5</t>
  </si>
  <si>
    <t>Calle de la Cruz 24</t>
  </si>
  <si>
    <t>Plaza de España 3</t>
  </si>
  <si>
    <t>Calle del Azahar 21</t>
  </si>
  <si>
    <t>Avenida de la Paz 14</t>
  </si>
  <si>
    <t>Calle del Roble 11</t>
  </si>
  <si>
    <t>Paseo de la Alameda 27</t>
  </si>
  <si>
    <t>Calle de la Rosa 2</t>
  </si>
  <si>
    <t>Avenida de los Olivos 6</t>
  </si>
  <si>
    <t>Calle del Sol 9</t>
  </si>
  <si>
    <t>Plaza Mayor 18</t>
  </si>
  <si>
    <t>Calle de la Montaña 32</t>
  </si>
  <si>
    <t>Avenida del Mar 7</t>
  </si>
  <si>
    <t>Calle de la Luna 14</t>
  </si>
  <si>
    <t>Paseo de la Victoria 25</t>
  </si>
  <si>
    <t>Calle del Prado 20</t>
  </si>
  <si>
    <t>Avenida de la Libertad 1</t>
  </si>
  <si>
    <t>id_direccion</t>
  </si>
  <si>
    <t>calle</t>
  </si>
  <si>
    <t>provincia</t>
  </si>
  <si>
    <t>camion</t>
  </si>
  <si>
    <t>Foton BJ3042V8JEA-A</t>
  </si>
  <si>
    <t>Volvo FL7</t>
  </si>
  <si>
    <t>Dongfeng KC</t>
  </si>
  <si>
    <t>Scania R620</t>
  </si>
  <si>
    <t>Isuzu NPR</t>
  </si>
  <si>
    <t>Hino 500</t>
  </si>
  <si>
    <t>Mercedes-Benz Actros</t>
  </si>
  <si>
    <t>Iveco Stralis</t>
  </si>
  <si>
    <t>Kenworth T680</t>
  </si>
  <si>
    <t>MAN TGS</t>
  </si>
  <si>
    <t>Freightliner Cascadia</t>
  </si>
  <si>
    <t>Mitsubishi Fuso Canter</t>
  </si>
  <si>
    <t>Peterbilt 389</t>
  </si>
  <si>
    <t>Renault T</t>
  </si>
  <si>
    <t>DAF XF</t>
  </si>
  <si>
    <t>Tata LPT 3118</t>
  </si>
  <si>
    <t>Mack Anthem</t>
  </si>
  <si>
    <t>UD Trucks Croner</t>
  </si>
  <si>
    <t>Eicher Pro 6016</t>
  </si>
  <si>
    <t>Ford Cargo</t>
  </si>
  <si>
    <t>KamAZ 54115</t>
  </si>
  <si>
    <t>Hyundai HD78</t>
  </si>
  <si>
    <t>Tatra Phoenix</t>
  </si>
  <si>
    <t>Western Star 4900</t>
  </si>
  <si>
    <t>Sinotruk HOWO T7H</t>
  </si>
  <si>
    <t>International ProStar</t>
  </si>
  <si>
    <t>Nissan Diesel Quon</t>
  </si>
  <si>
    <t>Mack Granite</t>
  </si>
  <si>
    <t>Kenworth W900</t>
  </si>
  <si>
    <t>FAW J6P</t>
  </si>
  <si>
    <t>Iveco Eurocargo</t>
  </si>
  <si>
    <t>Scania G440</t>
  </si>
  <si>
    <t>Isuzu FTR</t>
  </si>
  <si>
    <t>Mercedes-Benz Atego</t>
  </si>
  <si>
    <t>DAF CF</t>
  </si>
  <si>
    <t>MAN TGX</t>
  </si>
  <si>
    <t>Freightliner M2</t>
  </si>
  <si>
    <t>Mitsubishi Fuso Super Great</t>
  </si>
  <si>
    <t>Tata Prima LX</t>
  </si>
  <si>
    <t>Renault C</t>
  </si>
  <si>
    <t>Tipo</t>
  </si>
  <si>
    <t>Furgón</t>
  </si>
  <si>
    <t>Tráiler</t>
  </si>
  <si>
    <t>300 CV</t>
  </si>
  <si>
    <t>350 CV</t>
  </si>
  <si>
    <t>400 CV</t>
  </si>
  <si>
    <t>550 CV</t>
  </si>
  <si>
    <t>600 CV</t>
  </si>
  <si>
    <t>650 CV</t>
  </si>
  <si>
    <t>700 CV</t>
  </si>
  <si>
    <t>750 CV</t>
  </si>
  <si>
    <t>id_tipo</t>
  </si>
  <si>
    <t>Cisterna</t>
  </si>
  <si>
    <t>Plataforma</t>
  </si>
  <si>
    <t>Refrigerado</t>
  </si>
  <si>
    <t>Grúa</t>
  </si>
  <si>
    <t>Volquete</t>
  </si>
  <si>
    <t>Reparto</t>
  </si>
  <si>
    <t>Tanque</t>
  </si>
  <si>
    <t>Mudanza</t>
  </si>
  <si>
    <t>Dni</t>
  </si>
  <si>
    <t>34567890C</t>
  </si>
  <si>
    <t>56789012E</t>
  </si>
  <si>
    <t>67890123F</t>
  </si>
  <si>
    <t>78901234G</t>
  </si>
  <si>
    <t>89012345H</t>
  </si>
  <si>
    <t>90123456I</t>
  </si>
  <si>
    <t>12345678K</t>
  </si>
  <si>
    <t>23456789L</t>
  </si>
  <si>
    <t>34567890M</t>
  </si>
  <si>
    <t>45678901N</t>
  </si>
  <si>
    <t>56789012O</t>
  </si>
  <si>
    <t>67890123P</t>
  </si>
  <si>
    <t>78901234Q</t>
  </si>
  <si>
    <t>89012345R</t>
  </si>
  <si>
    <t>90123456S</t>
  </si>
  <si>
    <t>01234567T</t>
  </si>
  <si>
    <t>12345678U</t>
  </si>
  <si>
    <t>23456789V</t>
  </si>
  <si>
    <t>34567890W</t>
  </si>
  <si>
    <t>45678901X</t>
  </si>
  <si>
    <t>56789012Y</t>
  </si>
  <si>
    <t>67890123Z</t>
  </si>
  <si>
    <t>23456789A</t>
  </si>
  <si>
    <t>34567890B</t>
  </si>
  <si>
    <t>45678901C</t>
  </si>
  <si>
    <t>56789012D</t>
  </si>
  <si>
    <t>67890123E</t>
  </si>
  <si>
    <t>78901234F</t>
  </si>
  <si>
    <t>89012345G</t>
  </si>
  <si>
    <t>90123456H</t>
  </si>
  <si>
    <t>01234567I</t>
  </si>
  <si>
    <t>12345678J</t>
  </si>
  <si>
    <t>23456789K</t>
  </si>
  <si>
    <t>34567890L</t>
  </si>
  <si>
    <t>45678901M</t>
  </si>
  <si>
    <t>56789012N</t>
  </si>
  <si>
    <t>67890123O</t>
  </si>
  <si>
    <t>89012345Q</t>
  </si>
  <si>
    <t>90123456R</t>
  </si>
  <si>
    <t>12345678T</t>
  </si>
  <si>
    <t>23456789U</t>
  </si>
  <si>
    <t>45678901W</t>
  </si>
  <si>
    <t>56789012X</t>
  </si>
  <si>
    <t>67890123Y</t>
  </si>
  <si>
    <t>78901234Z</t>
  </si>
  <si>
    <t>89012345A</t>
  </si>
  <si>
    <t>90123456B</t>
  </si>
  <si>
    <t>01234567C</t>
  </si>
  <si>
    <t>12345678D</t>
  </si>
  <si>
    <t>34567890F</t>
  </si>
  <si>
    <t>45678901G</t>
  </si>
  <si>
    <t>56789012H</t>
  </si>
  <si>
    <t>67890123I</t>
  </si>
  <si>
    <t>78901234J</t>
  </si>
  <si>
    <t>90123456L</t>
  </si>
  <si>
    <t>01234567M</t>
  </si>
  <si>
    <t>12345678N</t>
  </si>
  <si>
    <t>23456789O</t>
  </si>
  <si>
    <t>34567890P</t>
  </si>
  <si>
    <t>56789012R</t>
  </si>
  <si>
    <t>67890123S</t>
  </si>
  <si>
    <t>89012345U</t>
  </si>
  <si>
    <t>90123456V</t>
  </si>
  <si>
    <t>01234567W</t>
  </si>
  <si>
    <t>12345678X</t>
  </si>
  <si>
    <t>23456789Y</t>
  </si>
  <si>
    <t>34567890Z</t>
  </si>
  <si>
    <t>45678901A</t>
  </si>
  <si>
    <t>56789012B</t>
  </si>
  <si>
    <t>67890123C</t>
  </si>
  <si>
    <t>78901234D</t>
  </si>
  <si>
    <t>89012345E</t>
  </si>
  <si>
    <t>90123456F</t>
  </si>
  <si>
    <t>01234567G</t>
  </si>
  <si>
    <t>12345678H</t>
  </si>
  <si>
    <t>23456789I</t>
  </si>
  <si>
    <t>34567890J</t>
  </si>
  <si>
    <t>45678901K</t>
  </si>
  <si>
    <t>67890123M</t>
  </si>
  <si>
    <t>78901234N</t>
  </si>
  <si>
    <t>89012345O</t>
  </si>
  <si>
    <t>90123456P</t>
  </si>
  <si>
    <t>01234567Q</t>
  </si>
  <si>
    <t>12345678R</t>
  </si>
  <si>
    <t>23456789S</t>
  </si>
  <si>
    <t>34567890T</t>
  </si>
  <si>
    <t>45678901U</t>
  </si>
  <si>
    <t>56789012V</t>
  </si>
  <si>
    <t>67890123W</t>
  </si>
  <si>
    <t>78901234X</t>
  </si>
  <si>
    <t>89012345Y</t>
  </si>
  <si>
    <t>90123456Z</t>
  </si>
  <si>
    <t>apellido</t>
  </si>
  <si>
    <t>Nombre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</si>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</sst>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left"/>
    </xf>
    <xf numFmtId="0" fontId="0" fillId="2" borderId="2" xfId="0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&quot;€&quot;;[Red]\-#,##0\ &quot;€&quot;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D15A6-B252-4F4C-8F1A-DF3E02D2A9BB}" name="Tabla1" displayName="Tabla1" ref="B4:H47" totalsRowShown="0">
  <autoFilter ref="B4:H47" xr:uid="{D57D15A6-B252-4F4C-8F1A-DF3E02D2A9BB}"/>
  <tableColumns count="7">
    <tableColumn id="1" xr3:uid="{7E6DDAA4-CDE9-4D2C-991C-4BE4E316D49A}" name="dni"/>
    <tableColumn id="8" xr3:uid="{70AE20F7-2C1A-4D30-9F24-EC1B8E227AB9}" name="nombre" dataDxfId="13">
      <calculatedColumnFormula array="1">INDEX(Hoja6!$H$6:$H$15,ROUND(RAND()*9,0)+1)</calculatedColumnFormula>
    </tableColumn>
    <tableColumn id="2" xr3:uid="{37CD6611-79FB-47FE-962F-80620915D642}" name="apellido" dataDxfId="12">
      <calculatedColumnFormula array="1">INDEX(Hoja6!$I$6:$I$15,ROUND(RAND()*9,0)+1)</calculatedColumnFormula>
    </tableColumn>
    <tableColumn id="3" xr3:uid="{740C296B-F47E-4612-9D39-05B4DE3300F6}" name="telefono"/>
    <tableColumn id="4" xr3:uid="{52AD123F-38C9-4909-814F-D34AC48BA2FC}" name="direccion" dataDxfId="11">
      <calculatedColumnFormula array="1">INDEX(Tabla9[id_direccion],ROUND(RAND()*215,0)+1)</calculatedColumnFormula>
    </tableColumn>
    <tableColumn id="5" xr3:uid="{4A9686CB-774E-4C37-B42D-59589618A3F6}" name="salario" dataDxfId="10">
      <calculatedColumnFormula>RANDBETWEEN(2000,5000)</calculatedColumnFormula>
    </tableColumn>
    <tableColumn id="7" xr3:uid="{47F2FABF-AD36-4AFC-81C6-97A28540FD0A}" name="camión asignad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F243CF-45F0-4575-9043-84E94F0B303C}" name="Tabla2" displayName="Tabla2" ref="B3:D46" totalsRowShown="0">
  <autoFilter ref="B3:D46" xr:uid="{B1F243CF-45F0-4575-9043-84E94F0B303C}"/>
  <tableColumns count="3">
    <tableColumn id="1" xr3:uid="{56220EAE-51C0-4050-BBA2-F4A90F636E1F}" name="matricula"/>
    <tableColumn id="2" xr3:uid="{5C2A912C-2E8A-4F18-9CA9-447AAE71A570}" name="modelo"/>
    <tableColumn id="3" xr3:uid="{805488B1-C60D-4FAE-BCD7-342C84C9F591}" name="tipo" dataDxfId="8">
      <calculatedColumnFormula array="1">INDEX(Tabla10[id_tipo],ROUND(RAND()*9,0)+1)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996EA93-4E9C-4A69-A3FC-8089A69EA956}" name="Tabla10" displayName="Tabla10" ref="C3:E13" totalsRowShown="0">
  <autoFilter ref="C3:E13" xr:uid="{3996EA93-4E9C-4A69-A3FC-8089A69EA956}"/>
  <tableColumns count="3">
    <tableColumn id="1" xr3:uid="{6CECB381-FDFB-4714-ADBF-2D305C5B94B8}" name="Tipo"/>
    <tableColumn id="2" xr3:uid="{DF480D33-C9A9-447C-9609-513723EA0C3B}" name="potencia"/>
    <tableColumn id="3" xr3:uid="{346915BB-8087-4A8A-8A0C-72DC1F017D92}" name="id_tipo" dataDxfId="7">
      <calculatedColumnFormula>UPPER(SUBSTITUTE(MID(C4,RANDBETWEEN(1,LEN(C4)-2),3)," ",""))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C2F74-8EF5-45D1-B223-D92D25DED485}" name="Tabla3" displayName="Tabla3" ref="B5:D166" totalsRowShown="0">
  <autoFilter ref="B5:D166" xr:uid="{8FBC2F74-8EF5-45D1-B223-D92D25DED485}"/>
  <tableColumns count="3">
    <tableColumn id="1" xr3:uid="{636A0F6E-2177-4C67-A5F9-AF3999F4041A}" name="camion" dataDxfId="6">
      <calculatedColumnFormula array="1">INDEX(Tabla2[[#All],[matricula]],ROUND(RAND()*40,0)+1)</calculatedColumnFormula>
    </tableColumn>
    <tableColumn id="2" xr3:uid="{5C4A9BDF-03E5-4E32-9168-7ABF583A5108}" name="paquete_codigo" dataDxfId="5">
      <calculatedColumnFormula>Paquetes!B5</calculatedColumnFormula>
    </tableColumn>
    <tableColumn id="3" xr3:uid="{0E8A0AC6-7C13-456C-816A-BD84EEFF6AF4}" name="fecha" dataDxfId="4">
      <calculatedColumnFormula>RANDBETWEEN(DATE(2023,1,1),TODAY())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CEF9FC-7D20-4700-BBE2-F91F2CCD16D2}" name="Tabla4" displayName="Tabla4" ref="B4:D165" totalsRowShown="0">
  <autoFilter ref="B4:D165" xr:uid="{E2CEF9FC-7D20-4700-BBE2-F91F2CCD16D2}"/>
  <tableColumns count="3">
    <tableColumn id="1" xr3:uid="{766680F2-970A-472C-AEA8-A1E1FCFF4E89}" name="codigo" dataDxfId="3"/>
    <tableColumn id="2" xr3:uid="{D128EB56-F026-44AA-8F82-D8C8623F7A88}" name="descripcion" dataDxfId="2">
      <calculatedColumnFormula array="1">INDEX(Hoja6!L$6:L$98,ROUND(RAND()*92,0)+1)</calculatedColumnFormula>
    </tableColumn>
    <tableColumn id="3" xr3:uid="{1DE3C383-84A2-47B3-9935-46010B8DA297}" name="destinatario" dataDxfId="1">
      <calculatedColumnFormula array="1">INDEX(Tabla11[Dni],ROUND(RAND()*103,0)+1)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F659CD-4C0E-43B9-A6AB-10EC3C564483}" name="Tabla11" displayName="Tabla11" ref="C5:F109" totalsRowShown="0">
  <autoFilter ref="C5:F109" xr:uid="{BCF659CD-4C0E-43B9-A6AB-10EC3C564483}"/>
  <tableColumns count="4">
    <tableColumn id="1" xr3:uid="{996BED21-BDB2-4271-994B-4A170553BE96}" name="Dni"/>
    <tableColumn id="2" xr3:uid="{3B650645-8ADC-485E-8A16-2BD5CF8BA6D1}" name="Nombre">
      <calculatedColumnFormula array="1">INDEX(Hoja6!C$6:C$45,ROUND(RAND()*39,0)+1)</calculatedColumnFormula>
    </tableColumn>
    <tableColumn id="3" xr3:uid="{401ED238-03FD-4854-B0BF-1E97E8B0023F}" name="apellido">
      <calculatedColumnFormula array="1">INDEX(Hoja6!D$6:D$45,ROUND(RAND()*39,0)+1)</calculatedColumnFormula>
    </tableColumn>
    <tableColumn id="4" xr3:uid="{49ACA81E-5ABC-49D4-B412-A933D75A4D06}" name="dirección">
      <calculatedColumnFormula array="1">INDEX(Tabla9[id_direccion],ROUND(RAND()*215,0)+1)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CEB4EB-0BDE-4653-A2B8-F6D0DDB851E8}" name="Tabla9" displayName="Tabla9" ref="B5:D222" totalsRowShown="0">
  <autoFilter ref="B5:D222" xr:uid="{B2CEB4EB-0BDE-4653-A2B8-F6D0DDB851E8}"/>
  <tableColumns count="3">
    <tableColumn id="1" xr3:uid="{5330C649-46E5-4BFC-872E-42B4518431DB}" name="id_direccion">
      <calculatedColumnFormula>CONCATENATE(UPPER(SUBSTITUTE(MID(C6,RANDBETWEEN(1,LEN(C6)),1)," ","")),"-",UPPER(SUBSTITUTE(MID(D6,RANDBETWEEN(1,LEN(D6)-2),3)," ","")))</calculatedColumnFormula>
    </tableColumn>
    <tableColumn id="2" xr3:uid="{5095151C-51A0-4F62-81B3-2EAACFCF7027}" name="provincia">
      <calculatedColumnFormula array="1">INDEX(Tabla5[codigo],ROUND(RAND()*45,0)+1)</calculatedColumnFormula>
    </tableColumn>
    <tableColumn id="3" xr3:uid="{AA473FEA-B7A6-4C07-99CA-0200A8915684}" name="calle">
      <calculatedColumnFormula array="1">INDEX(Tabla8[id_calle],ROUND(RAND()*45,0)+1)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A9EC66-EB28-467D-BAC0-F9AD27816E3C}" name="Tabla8" displayName="Tabla8" ref="B4:C96" totalsRowShown="0">
  <autoFilter ref="B4:C96" xr:uid="{31A9EC66-EB28-467D-BAC0-F9AD27816E3C}"/>
  <tableColumns count="2">
    <tableColumn id="1" xr3:uid="{2114588D-0EAB-4304-ADE1-6B235B95D0D9}" name="id_calle">
      <calculatedColumnFormula>UPPER(SUBSTITUTE(MID(C5,RANDBETWEEN(1,LEN(C5)-4),5)," ",""))</calculatedColumnFormula>
    </tableColumn>
    <tableColumn id="2" xr3:uid="{010E6388-7CAD-4407-BF04-DB167EB18644}" name="nombr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23B67B-75F4-47B8-96E7-FAE438CA0C97}" name="Tabla5" displayName="Tabla5" ref="B4:C54" totalsRowShown="0">
  <autoFilter ref="B4:C54" xr:uid="{3723B67B-75F4-47B8-96E7-FAE438CA0C97}"/>
  <tableColumns count="2">
    <tableColumn id="1" xr3:uid="{4540412E-8997-487A-837A-8520B1064FE2}" name="codigo"/>
    <tableColumn id="2" xr3:uid="{0341F6A2-1A16-4E35-925D-E9B9A13A2056}" name="nomb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17BBB4-CD47-40F5-A10B-D1122E3DDFE1}" name="Tabla6" displayName="Tabla6" ref="C5:C45" totalsRowShown="0">
  <autoFilter ref="C5:C45" xr:uid="{2117BBB4-CD47-40F5-A10B-D1122E3DDFE1}"/>
  <tableColumns count="1">
    <tableColumn id="1" xr3:uid="{75100330-D88B-4520-A5B2-886E3BD73C41}" name="Columna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91E39E-7E20-4A43-B94C-E0884818BF79}" name="Tabla7" displayName="Tabla7" ref="D5:D46" totalsRowShown="0">
  <autoFilter ref="D5:D46" xr:uid="{9791E39E-7E20-4A43-B94C-E0884818BF79}"/>
  <tableColumns count="1">
    <tableColumn id="1" xr3:uid="{0387AC8D-342F-48B1-8AB4-B7AF48B97C84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BFE1-DDD5-46F0-A780-860BF7B4E4C2}">
  <dimension ref="B4:H47"/>
  <sheetViews>
    <sheetView workbookViewId="0">
      <selection activeCell="F6" sqref="F6"/>
    </sheetView>
  </sheetViews>
  <sheetFormatPr baseColWidth="10" defaultRowHeight="15" x14ac:dyDescent="0.25"/>
  <cols>
    <col min="2" max="2" width="11.7109375" bestFit="1" customWidth="1"/>
    <col min="3" max="3" width="11.7109375" customWidth="1"/>
    <col min="4" max="4" width="10.5703125" bestFit="1" customWidth="1"/>
    <col min="5" max="5" width="12.42578125" bestFit="1" customWidth="1"/>
    <col min="6" max="6" width="11.42578125" bestFit="1" customWidth="1"/>
    <col min="7" max="7" width="9.140625" bestFit="1" customWidth="1"/>
    <col min="8" max="8" width="18" bestFit="1" customWidth="1"/>
  </cols>
  <sheetData>
    <row r="4" spans="2:8" x14ac:dyDescent="0.25">
      <c r="B4" t="s">
        <v>0</v>
      </c>
      <c r="C4" t="s">
        <v>1</v>
      </c>
      <c r="D4" t="s">
        <v>617</v>
      </c>
      <c r="E4" t="s">
        <v>2</v>
      </c>
      <c r="F4" t="s">
        <v>3</v>
      </c>
      <c r="G4" t="s">
        <v>4</v>
      </c>
      <c r="H4" t="s">
        <v>275</v>
      </c>
    </row>
    <row r="5" spans="2:8" x14ac:dyDescent="0.25">
      <c r="B5" t="s">
        <v>5</v>
      </c>
      <c r="C5" t="str" cm="1">
        <f t="array" aca="1" ref="C5" ca="1">INDEX(Hoja6!$H$6:$H$15,ROUND(RAND()*9,0)+1)</f>
        <v>Ethan</v>
      </c>
      <c r="D5" t="str" cm="1">
        <f t="array" aca="1" ref="D5" ca="1">INDEX(Hoja6!$I$6:$I$15,ROUND(RAND()*9,0)+1)</f>
        <v>Davis</v>
      </c>
      <c r="E5" t="s">
        <v>265</v>
      </c>
      <c r="F5" t="str" cm="1">
        <f t="array" aca="1" ref="F5" ca="1">INDEX(Tabla9[id_direccion],ROUND(RAND()*215,0)+1)</f>
        <v>E-LED</v>
      </c>
      <c r="G5" s="1">
        <f ca="1">RANDBETWEEN(2000,5000)</f>
        <v>3975</v>
      </c>
      <c r="H5" t="s">
        <v>14</v>
      </c>
    </row>
    <row r="6" spans="2:8" x14ac:dyDescent="0.25">
      <c r="B6" t="s">
        <v>7</v>
      </c>
      <c r="C6" t="str" cm="1">
        <f t="array" aca="1" ref="C6" ca="1">INDEX(Hoja6!$H$6:$H$15,ROUND(RAND()*9,0)+1)</f>
        <v>Emma</v>
      </c>
      <c r="D6" t="str" cm="1">
        <f t="array" aca="1" ref="D6" ca="1">INDEX(Hoja6!$I$6:$I$15,ROUND(RAND()*9,0)+1)</f>
        <v>Davis</v>
      </c>
      <c r="E6" t="s">
        <v>266</v>
      </c>
      <c r="F6" t="str" cm="1">
        <f t="array" aca="1" ref="F6" ca="1">INDEX(Tabla9[id_direccion],ROUND(RAND()*215,0)+1)</f>
        <v>O-LLE</v>
      </c>
      <c r="G6" s="1">
        <f t="shared" ref="G6:G47" ca="1" si="0">RANDBETWEEN(2000,5000)</f>
        <v>2150</v>
      </c>
      <c r="H6" t="s">
        <v>276</v>
      </c>
    </row>
    <row r="7" spans="2:8" x14ac:dyDescent="0.25">
      <c r="B7" t="s">
        <v>5</v>
      </c>
      <c r="C7" t="str" cm="1">
        <f t="array" aca="1" ref="C7" ca="1">INDEX(Hoja6!$H$6:$H$15,ROUND(RAND()*9,0)+1)</f>
        <v>Emma</v>
      </c>
      <c r="D7" t="str" cm="1">
        <f t="array" aca="1" ref="D7" ca="1">INDEX(Hoja6!$I$6:$I$15,ROUND(RAND()*9,0)+1)</f>
        <v>Taylor</v>
      </c>
      <c r="E7" t="s">
        <v>267</v>
      </c>
      <c r="F7" t="str" cm="1">
        <f t="array" aca="1" ref="F7" ca="1">INDEX(Tabla9[id_direccion],ROUND(RAND()*215,0)+1)</f>
        <v>G-NID</v>
      </c>
      <c r="G7" s="1">
        <f t="shared" ca="1" si="0"/>
        <v>2785</v>
      </c>
      <c r="H7" t="s">
        <v>277</v>
      </c>
    </row>
    <row r="8" spans="2:8" x14ac:dyDescent="0.25">
      <c r="B8" t="s">
        <v>184</v>
      </c>
      <c r="C8" t="str" cm="1">
        <f t="array" aca="1" ref="C8" ca="1">INDEX(Hoja6!$H$6:$H$15,ROUND(RAND()*9,0)+1)</f>
        <v>Emma</v>
      </c>
      <c r="D8" t="str" cm="1">
        <f t="array" aca="1" ref="D8" ca="1">INDEX(Hoja6!$I$6:$I$15,ROUND(RAND()*9,0)+1)</f>
        <v>Jackson</v>
      </c>
      <c r="E8" t="s">
        <v>268</v>
      </c>
      <c r="F8" t="str" cm="1">
        <f t="array" aca="1" ref="F8" ca="1">INDEX(Tabla9[id_direccion],ROUND(RAND()*215,0)+1)</f>
        <v>A-EDE</v>
      </c>
      <c r="G8" s="1">
        <f t="shared" ca="1" si="0"/>
        <v>4487</v>
      </c>
      <c r="H8" t="s">
        <v>278</v>
      </c>
    </row>
    <row r="9" spans="2:8" x14ac:dyDescent="0.25">
      <c r="B9" t="s">
        <v>185</v>
      </c>
      <c r="C9" t="str" cm="1">
        <f t="array" aca="1" ref="C9" ca="1">INDEX(Hoja6!$H$6:$H$15,ROUND(RAND()*9,0)+1)</f>
        <v>Ethan</v>
      </c>
      <c r="D9" t="str" cm="1">
        <f t="array" aca="1" ref="D9" ca="1">INDEX(Hoja6!$I$6:$I$15,ROUND(RAND()*9,0)+1)</f>
        <v>Taylor</v>
      </c>
      <c r="E9" t="s">
        <v>269</v>
      </c>
      <c r="F9" t="str" cm="1">
        <f t="array" aca="1" ref="F9" ca="1">INDEX(Tabla9[id_direccion],ROUND(RAND()*215,0)+1)</f>
        <v>S-ALL</v>
      </c>
      <c r="G9" s="1">
        <f t="shared" ca="1" si="0"/>
        <v>3890</v>
      </c>
      <c r="H9" t="s">
        <v>279</v>
      </c>
    </row>
    <row r="10" spans="2:8" x14ac:dyDescent="0.25">
      <c r="B10" t="s">
        <v>186</v>
      </c>
      <c r="C10" t="str" cm="1">
        <f t="array" aca="1" ref="C10" ca="1">INDEX(Hoja6!$H$6:$H$15,ROUND(RAND()*9,0)+1)</f>
        <v>Emma</v>
      </c>
      <c r="D10" t="str" cm="1">
        <f t="array" aca="1" ref="D10" ca="1">INDEX(Hoja6!$I$6:$I$15,ROUND(RAND()*9,0)+1)</f>
        <v>Davis</v>
      </c>
      <c r="E10" t="s">
        <v>270</v>
      </c>
      <c r="F10" t="str" cm="1">
        <f t="array" aca="1" ref="F10" ca="1">INDEX(Tabla9[id_direccion],ROUND(RAND()*215,0)+1)</f>
        <v>E-IDA</v>
      </c>
      <c r="G10" s="1">
        <f t="shared" ca="1" si="0"/>
        <v>3329</v>
      </c>
      <c r="H10" t="s">
        <v>280</v>
      </c>
    </row>
    <row r="11" spans="2:8" x14ac:dyDescent="0.25">
      <c r="B11" t="s">
        <v>187</v>
      </c>
      <c r="C11" t="str" cm="1">
        <f t="array" aca="1" ref="C11" ca="1">INDEX(Hoja6!$H$6:$H$15,ROUND(RAND()*9,0)+1)</f>
        <v>Emily</v>
      </c>
      <c r="D11" t="str" cm="1">
        <f t="array" aca="1" ref="D11" ca="1">INDEX(Hoja6!$I$6:$I$15,ROUND(RAND()*9,0)+1)</f>
        <v>Davis</v>
      </c>
      <c r="E11" t="s">
        <v>271</v>
      </c>
      <c r="F11" t="str" cm="1">
        <f t="array" aca="1" ref="F11" ca="1">INDEX(Tabla9[id_direccion],ROUND(RAND()*215,0)+1)</f>
        <v>L-RDÓ</v>
      </c>
      <c r="G11" s="1">
        <f t="shared" ca="1" si="0"/>
        <v>3308</v>
      </c>
      <c r="H11" t="s">
        <v>281</v>
      </c>
    </row>
    <row r="12" spans="2:8" x14ac:dyDescent="0.25">
      <c r="B12" t="s">
        <v>188</v>
      </c>
      <c r="C12" t="str" cm="1">
        <f t="array" aca="1" ref="C12" ca="1">INDEX(Hoja6!$H$6:$H$15,ROUND(RAND()*9,0)+1)</f>
        <v>Sophia</v>
      </c>
      <c r="D12" t="str" cm="1">
        <f t="array" aca="1" ref="D12" ca="1">INDEX(Hoja6!$I$6:$I$15,ROUND(RAND()*9,0)+1)</f>
        <v>Wilson</v>
      </c>
      <c r="E12" t="s">
        <v>272</v>
      </c>
      <c r="F12" t="str" cm="1">
        <f t="array" aca="1" ref="F12" ca="1">INDEX(Tabla9[id_direccion],ROUND(RAND()*215,0)+1)</f>
        <v>I-UEÑ</v>
      </c>
      <c r="G12" s="1">
        <f t="shared" ca="1" si="0"/>
        <v>2336</v>
      </c>
      <c r="H12" t="s">
        <v>282</v>
      </c>
    </row>
    <row r="13" spans="2:8" x14ac:dyDescent="0.25">
      <c r="B13" t="s">
        <v>189</v>
      </c>
      <c r="C13" t="str" cm="1">
        <f t="array" aca="1" ref="C13" ca="1">INDEX(Hoja6!$H$6:$H$15,ROUND(RAND()*9,0)+1)</f>
        <v>Olivia</v>
      </c>
      <c r="D13" t="str" cm="1">
        <f t="array" aca="1" ref="D13" ca="1">INDEX(Hoja6!$I$6:$I$15,ROUND(RAND()*9,0)+1)</f>
        <v>Moore</v>
      </c>
      <c r="E13" t="s">
        <v>273</v>
      </c>
      <c r="F13" t="str" cm="1">
        <f t="array" aca="1" ref="F13" ca="1">INDEX(Tabla9[id_direccion],ROUND(RAND()*215,0)+1)</f>
        <v>O-UE1</v>
      </c>
      <c r="G13" s="1">
        <f t="shared" ca="1" si="0"/>
        <v>3659</v>
      </c>
      <c r="H13" t="s">
        <v>283</v>
      </c>
    </row>
    <row r="14" spans="2:8" x14ac:dyDescent="0.25">
      <c r="B14" t="s">
        <v>190</v>
      </c>
      <c r="C14" t="str" cm="1">
        <f t="array" aca="1" ref="C14" ca="1">INDEX(Hoja6!$H$6:$H$15,ROUND(RAND()*9,0)+1)</f>
        <v>William</v>
      </c>
      <c r="D14" t="str" cm="1">
        <f t="array" aca="1" ref="D14" ca="1">INDEX(Hoja6!$I$6:$I$15,ROUND(RAND()*9,0)+1)</f>
        <v>Johnson</v>
      </c>
      <c r="E14" t="s">
        <v>274</v>
      </c>
      <c r="F14" t="str" cm="1">
        <f t="array" aca="1" ref="F14" ca="1">INDEX(Tabla9[id_direccion],ROUND(RAND()*215,0)+1)</f>
        <v>U-NID</v>
      </c>
      <c r="G14" s="1">
        <f t="shared" ca="1" si="0"/>
        <v>4538</v>
      </c>
      <c r="H14" t="s">
        <v>284</v>
      </c>
    </row>
    <row r="15" spans="2:8" x14ac:dyDescent="0.25">
      <c r="B15" t="s">
        <v>191</v>
      </c>
      <c r="C15" t="str" cm="1">
        <f t="array" aca="1" ref="C15" ca="1">INDEX(Hoja6!$H$6:$H$15,ROUND(RAND()*9,0)+1)</f>
        <v>Emma</v>
      </c>
      <c r="D15" t="str" cm="1">
        <f t="array" aca="1" ref="D15" ca="1">INDEX(Hoja6!$I$6:$I$15,ROUND(RAND()*9,0)+1)</f>
        <v>Anderson</v>
      </c>
      <c r="E15" t="s">
        <v>265</v>
      </c>
      <c r="F15" t="str" cm="1">
        <f t="array" aca="1" ref="F15" ca="1">INDEX(Tabla9[id_direccion],ROUND(RAND()*215,0)+1)</f>
        <v>R-ADE</v>
      </c>
      <c r="G15" s="1">
        <f t="shared" ca="1" si="0"/>
        <v>4334</v>
      </c>
      <c r="H15" t="s">
        <v>285</v>
      </c>
    </row>
    <row r="16" spans="2:8" x14ac:dyDescent="0.25">
      <c r="B16" t="s">
        <v>192</v>
      </c>
      <c r="C16" t="str" cm="1">
        <f t="array" aca="1" ref="C16" ca="1">INDEX(Hoja6!$H$6:$H$15,ROUND(RAND()*9,0)+1)</f>
        <v>Charlotte</v>
      </c>
      <c r="D16" t="str" cm="1">
        <f t="array" aca="1" ref="D16" ca="1">INDEX(Hoja6!$I$6:$I$15,ROUND(RAND()*9,0)+1)</f>
        <v>Taylor</v>
      </c>
      <c r="E16" t="s">
        <v>266</v>
      </c>
      <c r="F16" t="str" cm="1">
        <f t="array" aca="1" ref="F16" ca="1">INDEX(Tabla9[id_direccion],ROUND(RAND()*215,0)+1)</f>
        <v>L-OR2</v>
      </c>
      <c r="G16" s="1">
        <f t="shared" ca="1" si="0"/>
        <v>2560</v>
      </c>
      <c r="H16" t="s">
        <v>286</v>
      </c>
    </row>
    <row r="17" spans="2:8" x14ac:dyDescent="0.25">
      <c r="B17" t="s">
        <v>193</v>
      </c>
      <c r="C17" t="str" cm="1">
        <f t="array" aca="1" ref="C17" ca="1">INDEX(Hoja6!$H$6:$H$15,ROUND(RAND()*9,0)+1)</f>
        <v>Benjamin</v>
      </c>
      <c r="D17" t="str" cm="1">
        <f t="array" aca="1" ref="D17" ca="1">INDEX(Hoja6!$I$6:$I$15,ROUND(RAND()*9,0)+1)</f>
        <v>Brown</v>
      </c>
      <c r="E17" t="s">
        <v>267</v>
      </c>
      <c r="F17" t="str" cm="1">
        <f t="array" aca="1" ref="F17" ca="1">INDEX(Tabla9[id_direccion],ROUND(RAND()*215,0)+1)</f>
        <v>A-ADE</v>
      </c>
      <c r="G17" s="1">
        <f t="shared" ca="1" si="0"/>
        <v>3647</v>
      </c>
      <c r="H17" t="s">
        <v>287</v>
      </c>
    </row>
    <row r="18" spans="2:8" x14ac:dyDescent="0.25">
      <c r="B18" t="s">
        <v>194</v>
      </c>
      <c r="C18" t="str" cm="1">
        <f t="array" aca="1" ref="C18" ca="1">INDEX(Hoja6!$H$6:$H$15,ROUND(RAND()*9,0)+1)</f>
        <v>Olivia</v>
      </c>
      <c r="D18" t="str" cm="1">
        <f t="array" aca="1" ref="D18" ca="1">INDEX(Hoja6!$I$6:$I$15,ROUND(RAND()*9,0)+1)</f>
        <v>Jackson</v>
      </c>
      <c r="E18" t="s">
        <v>268</v>
      </c>
      <c r="F18" t="str" cm="1">
        <f t="array" aca="1" ref="F18" ca="1">INDEX(Tabla9[id_direccion],ROUND(RAND()*215,0)+1)</f>
        <v>U-DEL</v>
      </c>
      <c r="G18" s="1">
        <f t="shared" ca="1" si="0"/>
        <v>3296</v>
      </c>
      <c r="H18" t="s">
        <v>288</v>
      </c>
    </row>
    <row r="19" spans="2:8" x14ac:dyDescent="0.25">
      <c r="B19" t="s">
        <v>195</v>
      </c>
      <c r="C19" t="str" cm="1">
        <f t="array" aca="1" ref="C19" ca="1">INDEX(Hoja6!$H$6:$H$15,ROUND(RAND()*9,0)+1)</f>
        <v>Sophia</v>
      </c>
      <c r="D19" t="str" cm="1">
        <f t="array" aca="1" ref="D19" ca="1">INDEX(Hoja6!$I$6:$I$15,ROUND(RAND()*9,0)+1)</f>
        <v>Davis</v>
      </c>
      <c r="E19" t="s">
        <v>269</v>
      </c>
      <c r="F19" t="str" cm="1">
        <f t="array" aca="1" ref="F19" ca="1">INDEX(Tabla9[id_direccion],ROUND(RAND()*215,0)+1)</f>
        <v>R-ELA</v>
      </c>
      <c r="G19" s="1">
        <f t="shared" ca="1" si="0"/>
        <v>2624</v>
      </c>
      <c r="H19" t="s">
        <v>289</v>
      </c>
    </row>
    <row r="20" spans="2:8" x14ac:dyDescent="0.25">
      <c r="B20" t="s">
        <v>196</v>
      </c>
      <c r="C20" t="str" cm="1">
        <f t="array" aca="1" ref="C20" ca="1">INDEX(Hoja6!$H$6:$H$15,ROUND(RAND()*9,0)+1)</f>
        <v>Sophia</v>
      </c>
      <c r="D20" t="str" cm="1">
        <f t="array" aca="1" ref="D20" ca="1">INDEX(Hoja6!$I$6:$I$15,ROUND(RAND()*9,0)+1)</f>
        <v>Brown</v>
      </c>
      <c r="E20" t="s">
        <v>270</v>
      </c>
      <c r="F20" t="str" cm="1">
        <f t="array" aca="1" ref="F20" ca="1">INDEX(Tabla9[id_direccion],ROUND(RAND()*215,0)+1)</f>
        <v>B-ATI</v>
      </c>
      <c r="G20" s="1">
        <f t="shared" ca="1" si="0"/>
        <v>4956</v>
      </c>
      <c r="H20" t="s">
        <v>290</v>
      </c>
    </row>
    <row r="21" spans="2:8" x14ac:dyDescent="0.25">
      <c r="B21" t="s">
        <v>197</v>
      </c>
      <c r="C21" t="str" cm="1">
        <f t="array" aca="1" ref="C21" ca="1">INDEX(Hoja6!$H$6:$H$15,ROUND(RAND()*9,0)+1)</f>
        <v>James</v>
      </c>
      <c r="D21" t="str" cm="1">
        <f t="array" aca="1" ref="D21" ca="1">INDEX(Hoja6!$I$6:$I$15,ROUND(RAND()*9,0)+1)</f>
        <v>Moore</v>
      </c>
      <c r="E21" t="s">
        <v>271</v>
      </c>
      <c r="F21" t="str" cm="1">
        <f t="array" aca="1" ref="F21" ca="1">INDEX(Tabla9[id_direccion],ROUND(RAND()*215,0)+1)</f>
        <v>G-CAL</v>
      </c>
      <c r="G21" s="1">
        <f t="shared" ca="1" si="0"/>
        <v>2074</v>
      </c>
      <c r="H21" t="s">
        <v>291</v>
      </c>
    </row>
    <row r="22" spans="2:8" x14ac:dyDescent="0.25">
      <c r="B22" t="s">
        <v>198</v>
      </c>
      <c r="C22" t="str" cm="1">
        <f t="array" aca="1" ref="C22" ca="1">INDEX(Hoja6!$H$6:$H$15,ROUND(RAND()*9,0)+1)</f>
        <v>William</v>
      </c>
      <c r="D22" t="str" cm="1">
        <f t="array" aca="1" ref="D22" ca="1">INDEX(Hoja6!$I$6:$I$15,ROUND(RAND()*9,0)+1)</f>
        <v>Brown</v>
      </c>
      <c r="E22" t="s">
        <v>272</v>
      </c>
      <c r="F22" t="str" cm="1">
        <f t="array" aca="1" ref="F22" ca="1">INDEX(Tabla9[id_direccion],ROUND(RAND()*215,0)+1)</f>
        <v>N-DEL</v>
      </c>
      <c r="G22" s="1">
        <f t="shared" ca="1" si="0"/>
        <v>4730</v>
      </c>
      <c r="H22" t="s">
        <v>292</v>
      </c>
    </row>
    <row r="23" spans="2:8" x14ac:dyDescent="0.25">
      <c r="B23" t="s">
        <v>199</v>
      </c>
      <c r="C23" t="str" cm="1">
        <f t="array" aca="1" ref="C23" ca="1">INDEX(Hoja6!$H$6:$H$15,ROUND(RAND()*9,0)+1)</f>
        <v>Benjamin</v>
      </c>
      <c r="D23" t="str" cm="1">
        <f t="array" aca="1" ref="D23" ca="1">INDEX(Hoja6!$I$6:$I$15,ROUND(RAND()*9,0)+1)</f>
        <v>Moore</v>
      </c>
      <c r="E23" t="s">
        <v>273</v>
      </c>
      <c r="F23" t="str" cm="1">
        <f t="array" aca="1" ref="F23" ca="1">INDEX(Tabla9[id_direccion],ROUND(RAND()*215,0)+1)</f>
        <v>G-NID</v>
      </c>
      <c r="G23" s="1">
        <f t="shared" ca="1" si="0"/>
        <v>3486</v>
      </c>
      <c r="H23" t="s">
        <v>293</v>
      </c>
    </row>
    <row r="24" spans="2:8" x14ac:dyDescent="0.25">
      <c r="B24" t="s">
        <v>200</v>
      </c>
      <c r="C24" t="str" cm="1">
        <f t="array" aca="1" ref="C24" ca="1">INDEX(Hoja6!$H$6:$H$15,ROUND(RAND()*9,0)+1)</f>
        <v>William</v>
      </c>
      <c r="D24" t="str" cm="1">
        <f t="array" aca="1" ref="D24" ca="1">INDEX(Hoja6!$I$6:$I$15,ROUND(RAND()*9,0)+1)</f>
        <v>Moore</v>
      </c>
      <c r="E24" t="s">
        <v>274</v>
      </c>
      <c r="F24" t="str" cm="1">
        <f t="array" aca="1" ref="F24" ca="1">INDEX(Tabla9[id_direccion],ROUND(RAND()*215,0)+1)</f>
        <v>L-ELI</v>
      </c>
      <c r="G24" s="1">
        <f t="shared" ca="1" si="0"/>
        <v>3970</v>
      </c>
      <c r="H24" t="s">
        <v>294</v>
      </c>
    </row>
    <row r="25" spans="2:8" x14ac:dyDescent="0.25">
      <c r="B25" t="s">
        <v>201</v>
      </c>
      <c r="C25" t="str" cm="1">
        <f t="array" aca="1" ref="C25" ca="1">INDEX(Hoja6!$H$6:$H$15,ROUND(RAND()*9,0)+1)</f>
        <v>Alexander</v>
      </c>
      <c r="D25" t="str" cm="1">
        <f t="array" aca="1" ref="D25" ca="1">INDEX(Hoja6!$I$6:$I$15,ROUND(RAND()*9,0)+1)</f>
        <v>Taylor</v>
      </c>
      <c r="E25" t="s">
        <v>265</v>
      </c>
      <c r="F25" t="str" cm="1">
        <f t="array" aca="1" ref="F25" ca="1">INDEX(Tabla9[id_direccion],ROUND(RAND()*215,0)+1)</f>
        <v>I-UEÑ</v>
      </c>
      <c r="G25" s="1">
        <f t="shared" ca="1" si="0"/>
        <v>3228</v>
      </c>
      <c r="H25" t="s">
        <v>295</v>
      </c>
    </row>
    <row r="26" spans="2:8" x14ac:dyDescent="0.25">
      <c r="B26" t="s">
        <v>202</v>
      </c>
      <c r="C26" t="str" cm="1">
        <f t="array" aca="1" ref="C26" ca="1">INDEX(Hoja6!$H$6:$H$15,ROUND(RAND()*9,0)+1)</f>
        <v>William</v>
      </c>
      <c r="D26" t="str" cm="1">
        <f t="array" aca="1" ref="D26" ca="1">INDEX(Hoja6!$I$6:$I$15,ROUND(RAND()*9,0)+1)</f>
        <v>Taylor</v>
      </c>
      <c r="E26" t="s">
        <v>266</v>
      </c>
      <c r="F26" t="str" cm="1">
        <f t="array" aca="1" ref="F26" ca="1">INDEX(Tabla9[id_direccion],ROUND(RAND()*215,0)+1)</f>
        <v>M-AD1</v>
      </c>
      <c r="G26" s="1">
        <f t="shared" ca="1" si="0"/>
        <v>4399</v>
      </c>
      <c r="H26" t="s">
        <v>296</v>
      </c>
    </row>
    <row r="27" spans="2:8" x14ac:dyDescent="0.25">
      <c r="B27" t="s">
        <v>203</v>
      </c>
      <c r="C27" t="str" cm="1">
        <f t="array" aca="1" ref="C27" ca="1">INDEX(Hoja6!$H$6:$H$15,ROUND(RAND()*9,0)+1)</f>
        <v>Olivia</v>
      </c>
      <c r="D27" t="str" cm="1">
        <f t="array" aca="1" ref="D27" ca="1">INDEX(Hoja6!$I$6:$I$15,ROUND(RAND()*9,0)+1)</f>
        <v>Smith</v>
      </c>
      <c r="E27" t="s">
        <v>267</v>
      </c>
      <c r="F27" t="str" cm="1">
        <f t="array" aca="1" ref="F27" ca="1">INDEX(Tabla9[id_direccion],ROUND(RAND()*215,0)+1)</f>
        <v>A-NJU</v>
      </c>
      <c r="G27" s="1">
        <f t="shared" ca="1" si="0"/>
        <v>2559</v>
      </c>
      <c r="H27" t="s">
        <v>297</v>
      </c>
    </row>
    <row r="28" spans="2:8" x14ac:dyDescent="0.25">
      <c r="B28" t="s">
        <v>204</v>
      </c>
      <c r="C28" t="str" cm="1">
        <f t="array" aca="1" ref="C28" ca="1">INDEX(Hoja6!$H$6:$H$15,ROUND(RAND()*9,0)+1)</f>
        <v>Benjamin</v>
      </c>
      <c r="D28" t="str" cm="1">
        <f t="array" aca="1" ref="D28" ca="1">INDEX(Hoja6!$I$6:$I$15,ROUND(RAND()*9,0)+1)</f>
        <v>Wilson</v>
      </c>
      <c r="E28" t="s">
        <v>268</v>
      </c>
      <c r="F28" t="str" cm="1">
        <f t="array" aca="1" ref="F28" ca="1">INDEX(Tabla9[id_direccion],ROUND(RAND()*215,0)+1)</f>
        <v>S-ALL</v>
      </c>
      <c r="G28" s="1">
        <f t="shared" ca="1" si="0"/>
        <v>3801</v>
      </c>
      <c r="H28" t="s">
        <v>298</v>
      </c>
    </row>
    <row r="29" spans="2:8" x14ac:dyDescent="0.25">
      <c r="B29" t="s">
        <v>205</v>
      </c>
      <c r="C29" t="str" cm="1">
        <f t="array" aca="1" ref="C29" ca="1">INDEX(Hoja6!$H$6:$H$15,ROUND(RAND()*9,0)+1)</f>
        <v>Alexander</v>
      </c>
      <c r="D29" t="str" cm="1">
        <f t="array" aca="1" ref="D29" ca="1">INDEX(Hoja6!$I$6:$I$15,ROUND(RAND()*9,0)+1)</f>
        <v>Wilson</v>
      </c>
      <c r="E29" t="s">
        <v>269</v>
      </c>
      <c r="F29" t="str" cm="1">
        <f t="array" aca="1" ref="F29" ca="1">INDEX(Tabla9[id_direccion],ROUND(RAND()*215,0)+1)</f>
        <v>B-ALL</v>
      </c>
      <c r="G29" s="1">
        <f t="shared" ca="1" si="0"/>
        <v>4828</v>
      </c>
      <c r="H29" t="s">
        <v>299</v>
      </c>
    </row>
    <row r="30" spans="2:8" x14ac:dyDescent="0.25">
      <c r="B30" t="s">
        <v>206</v>
      </c>
      <c r="C30" t="str" cm="1">
        <f t="array" aca="1" ref="C30" ca="1">INDEX(Hoja6!$H$6:$H$15,ROUND(RAND()*9,0)+1)</f>
        <v>William</v>
      </c>
      <c r="D30" t="str" cm="1">
        <f t="array" aca="1" ref="D30" ca="1">INDEX(Hoja6!$I$6:$I$15,ROUND(RAND()*9,0)+1)</f>
        <v>Davis</v>
      </c>
      <c r="E30" t="s">
        <v>270</v>
      </c>
      <c r="F30" t="str" cm="1">
        <f t="array" aca="1" ref="F30" ca="1">INDEX(Tabla9[id_direccion],ROUND(RAND()*215,0)+1)</f>
        <v>S-DÓN</v>
      </c>
      <c r="G30" s="1">
        <f t="shared" ca="1" si="0"/>
        <v>3454</v>
      </c>
      <c r="H30" t="s">
        <v>300</v>
      </c>
    </row>
    <row r="31" spans="2:8" x14ac:dyDescent="0.25">
      <c r="B31" t="s">
        <v>207</v>
      </c>
      <c r="C31" t="str" cm="1">
        <f t="array" aca="1" ref="C31" ca="1">INDEX(Hoja6!$H$6:$H$15,ROUND(RAND()*9,0)+1)</f>
        <v>Alexander</v>
      </c>
      <c r="D31" t="str" cm="1">
        <f t="array" aca="1" ref="D31" ca="1">INDEX(Hoja6!$I$6:$I$15,ROUND(RAND()*9,0)+1)</f>
        <v>Taylor</v>
      </c>
      <c r="E31" t="s">
        <v>271</v>
      </c>
      <c r="F31" t="str" cm="1">
        <f t="array" aca="1" ref="F31" ca="1">INDEX(Tabla9[id_direccion],ROUND(RAND()*215,0)+1)</f>
        <v>U-OR2</v>
      </c>
      <c r="G31" s="1">
        <f t="shared" ca="1" si="0"/>
        <v>4578</v>
      </c>
      <c r="H31" t="s">
        <v>301</v>
      </c>
    </row>
    <row r="32" spans="2:8" x14ac:dyDescent="0.25">
      <c r="B32" t="s">
        <v>208</v>
      </c>
      <c r="C32" t="str" cm="1">
        <f t="array" aca="1" ref="C32" ca="1">INDEX(Hoja6!$H$6:$H$15,ROUND(RAND()*9,0)+1)</f>
        <v>Charlotte</v>
      </c>
      <c r="D32" t="str" cm="1">
        <f t="array" aca="1" ref="D32" ca="1">INDEX(Hoja6!$I$6:$I$15,ROUND(RAND()*9,0)+1)</f>
        <v>Wilson</v>
      </c>
      <c r="E32" t="s">
        <v>272</v>
      </c>
      <c r="F32" t="str" cm="1">
        <f t="array" aca="1" ref="F32" ca="1">INDEX(Tabla9[id_direccion],ROUND(RAND()*215,0)+1)</f>
        <v>A-EDE</v>
      </c>
      <c r="G32" s="1">
        <f t="shared" ca="1" si="0"/>
        <v>3554</v>
      </c>
      <c r="H32" t="s">
        <v>302</v>
      </c>
    </row>
    <row r="33" spans="2:8" x14ac:dyDescent="0.25">
      <c r="B33" t="s">
        <v>209</v>
      </c>
      <c r="C33" t="str" cm="1">
        <f t="array" aca="1" ref="C33" ca="1">INDEX(Hoja6!$H$6:$H$15,ROUND(RAND()*9,0)+1)</f>
        <v>Ethan</v>
      </c>
      <c r="D33" t="str" cm="1">
        <f t="array" aca="1" ref="D33" ca="1">INDEX(Hoja6!$I$6:$I$15,ROUND(RAND()*9,0)+1)</f>
        <v>Moore</v>
      </c>
      <c r="E33" t="s">
        <v>273</v>
      </c>
      <c r="F33" t="str" cm="1">
        <f t="array" aca="1" ref="F33" ca="1">INDEX(Tabla9[id_direccion],ROUND(RAND()*215,0)+1)</f>
        <v>A-ELA</v>
      </c>
      <c r="G33" s="1">
        <f t="shared" ca="1" si="0"/>
        <v>4425</v>
      </c>
      <c r="H33" t="s">
        <v>303</v>
      </c>
    </row>
    <row r="34" spans="2:8" x14ac:dyDescent="0.25">
      <c r="B34" t="s">
        <v>210</v>
      </c>
      <c r="C34" t="str" cm="1">
        <f t="array" aca="1" ref="C34" ca="1">INDEX(Hoja6!$H$6:$H$15,ROUND(RAND()*9,0)+1)</f>
        <v>Ethan</v>
      </c>
      <c r="D34" t="str" cm="1">
        <f t="array" aca="1" ref="D34" ca="1">INDEX(Hoja6!$I$6:$I$15,ROUND(RAND()*9,0)+1)</f>
        <v>Taylor</v>
      </c>
      <c r="E34" t="s">
        <v>274</v>
      </c>
      <c r="F34" t="str" cm="1">
        <f t="array" aca="1" ref="F34" ca="1">INDEX(Tabla9[id_direccion],ROUND(RAND()*215,0)+1)</f>
        <v>U-MAY</v>
      </c>
      <c r="G34" s="1">
        <f t="shared" ca="1" si="0"/>
        <v>4271</v>
      </c>
      <c r="H34" t="s">
        <v>304</v>
      </c>
    </row>
    <row r="35" spans="2:8" x14ac:dyDescent="0.25">
      <c r="B35" s="5">
        <v>567890120</v>
      </c>
      <c r="C35" t="str" cm="1">
        <f t="array" aca="1" ref="C35" ca="1">INDEX(Hoja6!$H$6:$H$15,ROUND(RAND()*9,0)+1)</f>
        <v>Ethan</v>
      </c>
      <c r="D35" t="str" cm="1">
        <f t="array" aca="1" ref="D35" ca="1">INDEX(Hoja6!$I$6:$I$15,ROUND(RAND()*9,0)+1)</f>
        <v>Moore</v>
      </c>
      <c r="E35" t="s">
        <v>265</v>
      </c>
      <c r="F35" t="str" cm="1">
        <f t="array" aca="1" ref="F35" ca="1">INDEX(Tabla9[id_direccion],ROUND(RAND()*215,0)+1)</f>
        <v>I-RDÓ</v>
      </c>
      <c r="G35" s="1">
        <f t="shared" ca="1" si="0"/>
        <v>2718</v>
      </c>
      <c r="H35" t="s">
        <v>305</v>
      </c>
    </row>
    <row r="36" spans="2:8" x14ac:dyDescent="0.25">
      <c r="B36" t="s">
        <v>211</v>
      </c>
      <c r="C36" t="str" cm="1">
        <f t="array" aca="1" ref="C36" ca="1">INDEX(Hoja6!$H$6:$H$15,ROUND(RAND()*9,0)+1)</f>
        <v>William</v>
      </c>
      <c r="D36" t="str" cm="1">
        <f t="array" aca="1" ref="D36" ca="1">INDEX(Hoja6!$I$6:$I$15,ROUND(RAND()*9,0)+1)</f>
        <v>Johnson</v>
      </c>
      <c r="E36" t="s">
        <v>266</v>
      </c>
      <c r="F36" t="str" cm="1">
        <f t="array" aca="1" ref="F36" ca="1">INDEX(Tabla9[id_direccion],ROUND(RAND()*215,0)+1)</f>
        <v>T-ADE</v>
      </c>
      <c r="G36" s="1">
        <f t="shared" ca="1" si="0"/>
        <v>2725</v>
      </c>
      <c r="H36" t="s">
        <v>306</v>
      </c>
    </row>
    <row r="37" spans="2:8" x14ac:dyDescent="0.25">
      <c r="B37" t="s">
        <v>212</v>
      </c>
      <c r="C37" t="str" cm="1">
        <f t="array" aca="1" ref="C37" ca="1">INDEX(Hoja6!$H$6:$H$15,ROUND(RAND()*9,0)+1)</f>
        <v>Ethan</v>
      </c>
      <c r="D37" t="str" cm="1">
        <f t="array" aca="1" ref="D37" ca="1">INDEX(Hoja6!$I$6:$I$15,ROUND(RAND()*9,0)+1)</f>
        <v>Johnson</v>
      </c>
      <c r="E37" t="s">
        <v>267</v>
      </c>
      <c r="F37" t="str" cm="1">
        <f t="array" aca="1" ref="F37" ca="1">INDEX(Tabla9[id_direccion],ROUND(RAND()*215,0)+1)</f>
        <v>S-IDA</v>
      </c>
      <c r="G37" s="1">
        <f t="shared" ca="1" si="0"/>
        <v>2359</v>
      </c>
      <c r="H37" t="s">
        <v>307</v>
      </c>
    </row>
    <row r="38" spans="2:8" x14ac:dyDescent="0.25">
      <c r="B38" t="s">
        <v>213</v>
      </c>
      <c r="C38" t="str" cm="1">
        <f t="array" aca="1" ref="C38" ca="1">INDEX(Hoja6!$H$6:$H$15,ROUND(RAND()*9,0)+1)</f>
        <v>James</v>
      </c>
      <c r="D38" t="str" cm="1">
        <f t="array" aca="1" ref="D38" ca="1">INDEX(Hoja6!$I$6:$I$15,ROUND(RAND()*9,0)+1)</f>
        <v>Wilson</v>
      </c>
      <c r="E38" t="s">
        <v>268</v>
      </c>
      <c r="F38" t="str" cm="1">
        <f t="array" aca="1" ref="F38" ca="1">INDEX(Tabla9[id_direccion],ROUND(RAND()*215,0)+1)</f>
        <v>M-ÑA2</v>
      </c>
      <c r="G38" s="1">
        <f t="shared" ca="1" si="0"/>
        <v>4634</v>
      </c>
      <c r="H38" t="s">
        <v>308</v>
      </c>
    </row>
    <row r="39" spans="2:8" x14ac:dyDescent="0.25">
      <c r="B39" t="s">
        <v>214</v>
      </c>
      <c r="C39" t="str" cm="1">
        <f t="array" aca="1" ref="C39" ca="1">INDEX(Hoja6!$H$6:$H$15,ROUND(RAND()*9,0)+1)</f>
        <v>Alexander</v>
      </c>
      <c r="D39" t="str" cm="1">
        <f t="array" aca="1" ref="D39" ca="1">INDEX(Hoja6!$I$6:$I$15,ROUND(RAND()*9,0)+1)</f>
        <v>Taylor</v>
      </c>
      <c r="E39" t="s">
        <v>269</v>
      </c>
      <c r="F39" t="str" cm="1">
        <f t="array" aca="1" ref="F39" ca="1">INDEX(Tabla9[id_direccion],ROUND(RAND()*215,0)+1)</f>
        <v>A-ADE</v>
      </c>
      <c r="G39" s="1">
        <f t="shared" ca="1" si="0"/>
        <v>2090</v>
      </c>
      <c r="H39" t="s">
        <v>309</v>
      </c>
    </row>
    <row r="40" spans="2:8" x14ac:dyDescent="0.25">
      <c r="B40" t="s">
        <v>215</v>
      </c>
      <c r="C40" t="str" cm="1">
        <f t="array" aca="1" ref="C40" ca="1">INDEX(Hoja6!$H$6:$H$15,ROUND(RAND()*9,0)+1)</f>
        <v>Olivia</v>
      </c>
      <c r="D40" t="str" cm="1">
        <f t="array" aca="1" ref="D40" ca="1">INDEX(Hoja6!$I$6:$I$15,ROUND(RAND()*9,0)+1)</f>
        <v>Taylor</v>
      </c>
      <c r="E40" t="s">
        <v>270</v>
      </c>
      <c r="F40" t="str" cm="1">
        <f t="array" aca="1" ref="F40" ca="1">INDEX(Tabla9[id_direccion],ROUND(RAND()*215,0)+1)</f>
        <v>C-ELA</v>
      </c>
      <c r="G40" s="1">
        <f t="shared" ca="1" si="0"/>
        <v>2960</v>
      </c>
      <c r="H40" t="s">
        <v>310</v>
      </c>
    </row>
    <row r="41" spans="2:8" x14ac:dyDescent="0.25">
      <c r="B41" t="s">
        <v>216</v>
      </c>
      <c r="C41" t="str" cm="1">
        <f t="array" aca="1" ref="C41" ca="1">INDEX(Hoja6!$H$6:$H$15,ROUND(RAND()*9,0)+1)</f>
        <v>Alexander</v>
      </c>
      <c r="D41" t="str" cm="1">
        <f t="array" aca="1" ref="D41" ca="1">INDEX(Hoja6!$I$6:$I$15,ROUND(RAND()*9,0)+1)</f>
        <v>Anderson</v>
      </c>
      <c r="E41" t="s">
        <v>271</v>
      </c>
      <c r="F41" t="str" cm="1">
        <f t="array" aca="1" ref="F41" ca="1">INDEX(Tabla9[id_direccion],ROUND(RAND()*215,0)+1)</f>
        <v>G-ÑO1</v>
      </c>
      <c r="G41" s="1">
        <f t="shared" ca="1" si="0"/>
        <v>2030</v>
      </c>
      <c r="H41" t="s">
        <v>311</v>
      </c>
    </row>
    <row r="42" spans="2:8" x14ac:dyDescent="0.25">
      <c r="B42" t="s">
        <v>217</v>
      </c>
      <c r="C42" t="str" cm="1">
        <f t="array" aca="1" ref="C42" ca="1">INDEX(Hoja6!$H$6:$H$15,ROUND(RAND()*9,0)+1)</f>
        <v>Emily</v>
      </c>
      <c r="D42" t="str" cm="1">
        <f t="array" aca="1" ref="D42" ca="1">INDEX(Hoja6!$I$6:$I$15,ROUND(RAND()*9,0)+1)</f>
        <v>Johnson</v>
      </c>
      <c r="E42" t="s">
        <v>272</v>
      </c>
      <c r="F42" t="str" cm="1">
        <f t="array" aca="1" ref="F42" ca="1">INDEX(Tabla9[id_direccion],ROUND(RAND()*215,0)+1)</f>
        <v>O-UE1</v>
      </c>
      <c r="G42" s="1">
        <f t="shared" ca="1" si="0"/>
        <v>2298</v>
      </c>
      <c r="H42" t="s">
        <v>312</v>
      </c>
    </row>
    <row r="43" spans="2:8" x14ac:dyDescent="0.25">
      <c r="B43" t="s">
        <v>218</v>
      </c>
      <c r="C43" t="str" cm="1">
        <f t="array" aca="1" ref="C43" ca="1">INDEX(Hoja6!$H$6:$H$15,ROUND(RAND()*9,0)+1)</f>
        <v>Ethan</v>
      </c>
      <c r="D43" t="str" cm="1">
        <f t="array" aca="1" ref="D43" ca="1">INDEX(Hoja6!$I$6:$I$15,ROUND(RAND()*9,0)+1)</f>
        <v>Moore</v>
      </c>
      <c r="E43" t="s">
        <v>273</v>
      </c>
      <c r="F43" t="str" cm="1">
        <f t="array" aca="1" ref="F43" ca="1">INDEX(Tabla9[id_direccion],ROUND(RAND()*215,0)+1)</f>
        <v>U-ADE</v>
      </c>
      <c r="G43" s="1">
        <f t="shared" ca="1" si="0"/>
        <v>2185</v>
      </c>
      <c r="H43" t="s">
        <v>313</v>
      </c>
    </row>
    <row r="44" spans="2:8" x14ac:dyDescent="0.25">
      <c r="B44" t="s">
        <v>219</v>
      </c>
      <c r="C44" t="str" cm="1">
        <f t="array" aca="1" ref="C44" ca="1">INDEX(Hoja6!$H$6:$H$15,ROUND(RAND()*9,0)+1)</f>
        <v>James</v>
      </c>
      <c r="D44" t="str" cm="1">
        <f t="array" aca="1" ref="D44" ca="1">INDEX(Hoja6!$I$6:$I$15,ROUND(RAND()*9,0)+1)</f>
        <v>Taylor</v>
      </c>
      <c r="E44" t="s">
        <v>274</v>
      </c>
      <c r="F44" t="str" cm="1">
        <f t="array" aca="1" ref="F44" ca="1">INDEX(Tabla9[id_direccion],ROUND(RAND()*215,0)+1)</f>
        <v>L-LCO</v>
      </c>
      <c r="G44" s="1">
        <f t="shared" ca="1" si="0"/>
        <v>4652</v>
      </c>
      <c r="H44" t="s">
        <v>314</v>
      </c>
    </row>
    <row r="45" spans="2:8" x14ac:dyDescent="0.25">
      <c r="B45" t="s">
        <v>220</v>
      </c>
      <c r="C45" t="str" cm="1">
        <f t="array" aca="1" ref="C45" ca="1">INDEX(Hoja6!$H$6:$H$15,ROUND(RAND()*9,0)+1)</f>
        <v>Olivia</v>
      </c>
      <c r="D45" t="str" cm="1">
        <f t="array" aca="1" ref="D45" ca="1">INDEX(Hoja6!$I$6:$I$15,ROUND(RAND()*9,0)+1)</f>
        <v>Smith</v>
      </c>
      <c r="E45" t="s">
        <v>265</v>
      </c>
      <c r="F45" t="str" cm="1">
        <f t="array" aca="1" ref="F45" ca="1">INDEX(Tabla9[id_direccion],ROUND(RAND()*215,0)+1)</f>
        <v>E-LED</v>
      </c>
      <c r="G45" s="1">
        <f t="shared" ca="1" si="0"/>
        <v>3541</v>
      </c>
      <c r="H45" t="s">
        <v>315</v>
      </c>
    </row>
    <row r="46" spans="2:8" x14ac:dyDescent="0.25">
      <c r="B46" t="s">
        <v>221</v>
      </c>
      <c r="C46" t="str" cm="1">
        <f t="array" aca="1" ref="C46" ca="1">INDEX(Hoja6!$H$6:$H$15,ROUND(RAND()*9,0)+1)</f>
        <v>Ethan</v>
      </c>
      <c r="D46" t="str" cm="1">
        <f t="array" aca="1" ref="D46" ca="1">INDEX(Hoja6!$I$6:$I$15,ROUND(RAND()*9,0)+1)</f>
        <v>Wilson</v>
      </c>
      <c r="E46" t="s">
        <v>266</v>
      </c>
      <c r="F46" t="str" cm="1">
        <f t="array" aca="1" ref="F46" ca="1">INDEX(Tabla9[id_direccion],ROUND(RAND()*215,0)+1)</f>
        <v>A-VEN</v>
      </c>
      <c r="G46" s="1">
        <f t="shared" ca="1" si="0"/>
        <v>2954</v>
      </c>
      <c r="H46" t="s">
        <v>316</v>
      </c>
    </row>
    <row r="47" spans="2:8" x14ac:dyDescent="0.25">
      <c r="B47" t="s">
        <v>222</v>
      </c>
      <c r="C47" t="str" cm="1">
        <f t="array" aca="1" ref="C47" ca="1">INDEX(Hoja6!$H$6:$H$15,ROUND(RAND()*9,0)+1)</f>
        <v>Benjamin</v>
      </c>
      <c r="D47" t="str" cm="1">
        <f t="array" aca="1" ref="D47" ca="1">INDEX(Hoja6!$I$6:$I$15,ROUND(RAND()*9,0)+1)</f>
        <v>Jackson</v>
      </c>
      <c r="E47" t="s">
        <v>267</v>
      </c>
      <c r="F47" t="str" cm="1">
        <f t="array" aca="1" ref="F47" ca="1">INDEX(Tabla9[id_direccion],ROUND(RAND()*215,0)+1)</f>
        <v>D-NTO</v>
      </c>
      <c r="G47" s="1">
        <f t="shared" ca="1" si="0"/>
        <v>4376</v>
      </c>
      <c r="H47" t="s">
        <v>317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F172-A8E1-44C0-932E-6F8DC57BD218}">
  <dimension ref="B3:D46"/>
  <sheetViews>
    <sheetView workbookViewId="0">
      <selection activeCell="D6" sqref="D6"/>
    </sheetView>
  </sheetViews>
  <sheetFormatPr baseColWidth="10" defaultRowHeight="15" x14ac:dyDescent="0.25"/>
  <cols>
    <col min="3" max="3" width="26" bestFit="1" customWidth="1"/>
    <col min="4" max="4" width="6.85546875" bestFit="1" customWidth="1"/>
  </cols>
  <sheetData>
    <row r="3" spans="2:4" x14ac:dyDescent="0.25">
      <c r="B3" t="s">
        <v>10</v>
      </c>
      <c r="C3" t="s">
        <v>11</v>
      </c>
      <c r="D3" t="s">
        <v>12</v>
      </c>
    </row>
    <row r="4" spans="2:4" x14ac:dyDescent="0.25">
      <c r="B4" t="s">
        <v>14</v>
      </c>
      <c r="C4" t="s">
        <v>15</v>
      </c>
      <c r="D4" t="str" cm="1">
        <f t="array" aca="1" ref="D4" ca="1">INDEX(Tabla10[id_tipo],ROUND(RAND()*9,0)+1)</f>
        <v>FOR</v>
      </c>
    </row>
    <row r="5" spans="2:4" x14ac:dyDescent="0.25">
      <c r="B5" t="s">
        <v>276</v>
      </c>
      <c r="C5" t="s">
        <v>17</v>
      </c>
      <c r="D5" t="str" cm="1">
        <f t="array" aca="1" ref="D5" ca="1">INDEX(Tabla10[id_tipo],ROUND(RAND()*9,0)+1)</f>
        <v>GRÚ</v>
      </c>
    </row>
    <row r="6" spans="2:4" x14ac:dyDescent="0.25">
      <c r="B6" t="s">
        <v>277</v>
      </c>
      <c r="C6" t="s">
        <v>464</v>
      </c>
      <c r="D6" t="str" cm="1">
        <f t="array" aca="1" ref="D6" ca="1">INDEX(Tabla10[id_tipo],ROUND(RAND()*9,0)+1)</f>
        <v>UET</v>
      </c>
    </row>
    <row r="7" spans="2:4" x14ac:dyDescent="0.25">
      <c r="B7" t="s">
        <v>278</v>
      </c>
      <c r="C7" t="s">
        <v>465</v>
      </c>
      <c r="D7" t="str" cm="1">
        <f t="array" aca="1" ref="D7" ca="1">INDEX(Tabla10[id_tipo],ROUND(RAND()*9,0)+1)</f>
        <v>UET</v>
      </c>
    </row>
    <row r="8" spans="2:4" x14ac:dyDescent="0.25">
      <c r="B8" t="s">
        <v>279</v>
      </c>
      <c r="C8" t="s">
        <v>466</v>
      </c>
      <c r="D8" t="str" cm="1">
        <f t="array" aca="1" ref="D8" ca="1">INDEX(Tabla10[id_tipo],ROUND(RAND()*9,0)+1)</f>
        <v>REF</v>
      </c>
    </row>
    <row r="9" spans="2:4" x14ac:dyDescent="0.25">
      <c r="B9" t="s">
        <v>280</v>
      </c>
      <c r="C9" t="s">
        <v>467</v>
      </c>
      <c r="D9" t="str" cm="1">
        <f t="array" aca="1" ref="D9" ca="1">INDEX(Tabla10[id_tipo],ROUND(RAND()*9,0)+1)</f>
        <v>CIS</v>
      </c>
    </row>
    <row r="10" spans="2:4" x14ac:dyDescent="0.25">
      <c r="B10" t="s">
        <v>281</v>
      </c>
      <c r="C10" t="s">
        <v>468</v>
      </c>
      <c r="D10" t="str" cm="1">
        <f t="array" aca="1" ref="D10" ca="1">INDEX(Tabla10[id_tipo],ROUND(RAND()*9,0)+1)</f>
        <v>TRÁ</v>
      </c>
    </row>
    <row r="11" spans="2:4" x14ac:dyDescent="0.25">
      <c r="B11" t="s">
        <v>282</v>
      </c>
      <c r="C11" t="s">
        <v>469</v>
      </c>
      <c r="D11" t="str" cm="1">
        <f t="array" aca="1" ref="D11" ca="1">INDEX(Tabla10[id_tipo],ROUND(RAND()*9,0)+1)</f>
        <v>UET</v>
      </c>
    </row>
    <row r="12" spans="2:4" x14ac:dyDescent="0.25">
      <c r="B12" t="s">
        <v>283</v>
      </c>
      <c r="C12" t="s">
        <v>470</v>
      </c>
      <c r="D12" t="str" cm="1">
        <f t="array" aca="1" ref="D12" ca="1">INDEX(Tabla10[id_tipo],ROUND(RAND()*9,0)+1)</f>
        <v>REF</v>
      </c>
    </row>
    <row r="13" spans="2:4" x14ac:dyDescent="0.25">
      <c r="B13" t="s">
        <v>284</v>
      </c>
      <c r="C13" t="s">
        <v>471</v>
      </c>
      <c r="D13" t="str" cm="1">
        <f t="array" aca="1" ref="D13" ca="1">INDEX(Tabla10[id_tipo],ROUND(RAND()*9,0)+1)</f>
        <v>UET</v>
      </c>
    </row>
    <row r="14" spans="2:4" x14ac:dyDescent="0.25">
      <c r="B14" t="s">
        <v>285</v>
      </c>
      <c r="C14" t="s">
        <v>472</v>
      </c>
      <c r="D14" t="str" cm="1">
        <f t="array" aca="1" ref="D14" ca="1">INDEX(Tabla10[id_tipo],ROUND(RAND()*9,0)+1)</f>
        <v>URG</v>
      </c>
    </row>
    <row r="15" spans="2:4" x14ac:dyDescent="0.25">
      <c r="B15" t="s">
        <v>286</v>
      </c>
      <c r="C15" t="s">
        <v>473</v>
      </c>
      <c r="D15" t="str" cm="1">
        <f t="array" aca="1" ref="D15" ca="1">INDEX(Tabla10[id_tipo],ROUND(RAND()*9,0)+1)</f>
        <v>PAR</v>
      </c>
    </row>
    <row r="16" spans="2:4" x14ac:dyDescent="0.25">
      <c r="B16" t="s">
        <v>287</v>
      </c>
      <c r="C16" t="s">
        <v>474</v>
      </c>
      <c r="D16" t="str" cm="1">
        <f t="array" aca="1" ref="D16" ca="1">INDEX(Tabla10[id_tipo],ROUND(RAND()*9,0)+1)</f>
        <v>PAR</v>
      </c>
    </row>
    <row r="17" spans="2:4" x14ac:dyDescent="0.25">
      <c r="B17" t="s">
        <v>288</v>
      </c>
      <c r="C17" t="s">
        <v>475</v>
      </c>
      <c r="D17" t="str" cm="1">
        <f t="array" aca="1" ref="D17" ca="1">INDEX(Tabla10[id_tipo],ROUND(RAND()*9,0)+1)</f>
        <v>TRÁ</v>
      </c>
    </row>
    <row r="18" spans="2:4" x14ac:dyDescent="0.25">
      <c r="B18" t="s">
        <v>289</v>
      </c>
      <c r="C18" t="s">
        <v>476</v>
      </c>
      <c r="D18" t="str" cm="1">
        <f t="array" aca="1" ref="D18" ca="1">INDEX(Tabla10[id_tipo],ROUND(RAND()*9,0)+1)</f>
        <v>REF</v>
      </c>
    </row>
    <row r="19" spans="2:4" x14ac:dyDescent="0.25">
      <c r="B19" t="s">
        <v>290</v>
      </c>
      <c r="C19" t="s">
        <v>477</v>
      </c>
      <c r="D19" t="str" cm="1">
        <f t="array" aca="1" ref="D19" ca="1">INDEX(Tabla10[id_tipo],ROUND(RAND()*9,0)+1)</f>
        <v>TRÁ</v>
      </c>
    </row>
    <row r="20" spans="2:4" x14ac:dyDescent="0.25">
      <c r="B20" t="s">
        <v>291</v>
      </c>
      <c r="C20" t="s">
        <v>478</v>
      </c>
      <c r="D20" t="str" cm="1">
        <f t="array" aca="1" ref="D20" ca="1">INDEX(Tabla10[id_tipo],ROUND(RAND()*9,0)+1)</f>
        <v>GRÚ</v>
      </c>
    </row>
    <row r="21" spans="2:4" x14ac:dyDescent="0.25">
      <c r="B21" t="s">
        <v>292</v>
      </c>
      <c r="C21" t="s">
        <v>479</v>
      </c>
      <c r="D21" t="str" cm="1">
        <f t="array" aca="1" ref="D21" ca="1">INDEX(Tabla10[id_tipo],ROUND(RAND()*9,0)+1)</f>
        <v>ANZ</v>
      </c>
    </row>
    <row r="22" spans="2:4" x14ac:dyDescent="0.25">
      <c r="B22" t="s">
        <v>293</v>
      </c>
      <c r="C22" t="s">
        <v>480</v>
      </c>
      <c r="D22" t="str" cm="1">
        <f t="array" aca="1" ref="D22" ca="1">INDEX(Tabla10[id_tipo],ROUND(RAND()*9,0)+1)</f>
        <v>GRÚ</v>
      </c>
    </row>
    <row r="23" spans="2:4" x14ac:dyDescent="0.25">
      <c r="B23" t="s">
        <v>294</v>
      </c>
      <c r="C23" t="s">
        <v>481</v>
      </c>
      <c r="D23" t="str" cm="1">
        <f t="array" aca="1" ref="D23" ca="1">INDEX(Tabla10[id_tipo],ROUND(RAND()*9,0)+1)</f>
        <v>REF</v>
      </c>
    </row>
    <row r="24" spans="2:4" x14ac:dyDescent="0.25">
      <c r="B24" t="s">
        <v>295</v>
      </c>
      <c r="C24" t="s">
        <v>482</v>
      </c>
      <c r="D24" t="str" cm="1">
        <f t="array" aca="1" ref="D24" ca="1">INDEX(Tabla10[id_tipo],ROUND(RAND()*9,0)+1)</f>
        <v>CIS</v>
      </c>
    </row>
    <row r="25" spans="2:4" x14ac:dyDescent="0.25">
      <c r="B25" t="s">
        <v>296</v>
      </c>
      <c r="C25" t="s">
        <v>483</v>
      </c>
      <c r="D25" t="str" cm="1">
        <f t="array" aca="1" ref="D25" ca="1">INDEX(Tabla10[id_tipo],ROUND(RAND()*9,0)+1)</f>
        <v>ANQ</v>
      </c>
    </row>
    <row r="26" spans="2:4" x14ac:dyDescent="0.25">
      <c r="B26" t="s">
        <v>297</v>
      </c>
      <c r="C26" t="s">
        <v>484</v>
      </c>
      <c r="D26" t="str" cm="1">
        <f t="array" aca="1" ref="D26" ca="1">INDEX(Tabla10[id_tipo],ROUND(RAND()*9,0)+1)</f>
        <v>GRÚ</v>
      </c>
    </row>
    <row r="27" spans="2:4" x14ac:dyDescent="0.25">
      <c r="B27" t="s">
        <v>298</v>
      </c>
      <c r="C27" t="s">
        <v>485</v>
      </c>
      <c r="D27" t="str" cm="1">
        <f t="array" aca="1" ref="D27" ca="1">INDEX(Tabla10[id_tipo],ROUND(RAND()*9,0)+1)</f>
        <v>TRÁ</v>
      </c>
    </row>
    <row r="28" spans="2:4" x14ac:dyDescent="0.25">
      <c r="B28" t="s">
        <v>299</v>
      </c>
      <c r="C28" t="s">
        <v>486</v>
      </c>
      <c r="D28" t="str" cm="1">
        <f t="array" aca="1" ref="D28" ca="1">INDEX(Tabla10[id_tipo],ROUND(RAND()*9,0)+1)</f>
        <v>FOR</v>
      </c>
    </row>
    <row r="29" spans="2:4" x14ac:dyDescent="0.25">
      <c r="B29" t="s">
        <v>300</v>
      </c>
      <c r="C29" t="s">
        <v>487</v>
      </c>
      <c r="D29" t="str" cm="1">
        <f t="array" aca="1" ref="D29" ca="1">INDEX(Tabla10[id_tipo],ROUND(RAND()*9,0)+1)</f>
        <v>TRÁ</v>
      </c>
    </row>
    <row r="30" spans="2:4" x14ac:dyDescent="0.25">
      <c r="B30" t="s">
        <v>301</v>
      </c>
      <c r="C30" t="s">
        <v>488</v>
      </c>
      <c r="D30" t="str" cm="1">
        <f t="array" aca="1" ref="D30" ca="1">INDEX(Tabla10[id_tipo],ROUND(RAND()*9,0)+1)</f>
        <v>UET</v>
      </c>
    </row>
    <row r="31" spans="2:4" x14ac:dyDescent="0.25">
      <c r="B31" t="s">
        <v>302</v>
      </c>
      <c r="C31" t="s">
        <v>489</v>
      </c>
      <c r="D31" t="str" cm="1">
        <f t="array" aca="1" ref="D31" ca="1">INDEX(Tabla10[id_tipo],ROUND(RAND()*9,0)+1)</f>
        <v>FOR</v>
      </c>
    </row>
    <row r="32" spans="2:4" x14ac:dyDescent="0.25">
      <c r="B32" t="s">
        <v>303</v>
      </c>
      <c r="C32" t="s">
        <v>490</v>
      </c>
      <c r="D32" t="str" cm="1">
        <f t="array" aca="1" ref="D32" ca="1">INDEX(Tabla10[id_tipo],ROUND(RAND()*9,0)+1)</f>
        <v>GRÚ</v>
      </c>
    </row>
    <row r="33" spans="2:4" x14ac:dyDescent="0.25">
      <c r="B33" t="s">
        <v>304</v>
      </c>
      <c r="C33" t="s">
        <v>491</v>
      </c>
      <c r="D33" t="str" cm="1">
        <f t="array" aca="1" ref="D33" ca="1">INDEX(Tabla10[id_tipo],ROUND(RAND()*9,0)+1)</f>
        <v>CIS</v>
      </c>
    </row>
    <row r="34" spans="2:4" x14ac:dyDescent="0.25">
      <c r="B34" t="s">
        <v>305</v>
      </c>
      <c r="C34" t="s">
        <v>492</v>
      </c>
      <c r="D34" t="str" cm="1">
        <f t="array" aca="1" ref="D34" ca="1">INDEX(Tabla10[id_tipo],ROUND(RAND()*9,0)+1)</f>
        <v>FOR</v>
      </c>
    </row>
    <row r="35" spans="2:4" x14ac:dyDescent="0.25">
      <c r="B35" t="s">
        <v>306</v>
      </c>
      <c r="C35" t="s">
        <v>493</v>
      </c>
      <c r="D35" t="str" cm="1">
        <f t="array" aca="1" ref="D35" ca="1">INDEX(Tabla10[id_tipo],ROUND(RAND()*9,0)+1)</f>
        <v>UET</v>
      </c>
    </row>
    <row r="36" spans="2:4" x14ac:dyDescent="0.25">
      <c r="B36" t="s">
        <v>307</v>
      </c>
      <c r="C36" t="s">
        <v>494</v>
      </c>
      <c r="D36" t="str" cm="1">
        <f t="array" aca="1" ref="D36" ca="1">INDEX(Tabla10[id_tipo],ROUND(RAND()*9,0)+1)</f>
        <v>CIS</v>
      </c>
    </row>
    <row r="37" spans="2:4" x14ac:dyDescent="0.25">
      <c r="B37" t="s">
        <v>308</v>
      </c>
      <c r="C37" t="s">
        <v>495</v>
      </c>
      <c r="D37" t="str" cm="1">
        <f t="array" aca="1" ref="D37" ca="1">INDEX(Tabla10[id_tipo],ROUND(RAND()*9,0)+1)</f>
        <v>UET</v>
      </c>
    </row>
    <row r="38" spans="2:4" x14ac:dyDescent="0.25">
      <c r="B38" t="s">
        <v>309</v>
      </c>
      <c r="C38" t="s">
        <v>15</v>
      </c>
      <c r="D38" t="str" cm="1">
        <f t="array" aca="1" ref="D38" ca="1">INDEX(Tabla10[id_tipo],ROUND(RAND()*9,0)+1)</f>
        <v>FOR</v>
      </c>
    </row>
    <row r="39" spans="2:4" x14ac:dyDescent="0.25">
      <c r="B39" t="s">
        <v>310</v>
      </c>
      <c r="C39" t="s">
        <v>496</v>
      </c>
      <c r="D39" t="str" cm="1">
        <f t="array" aca="1" ref="D39" ca="1">INDEX(Tabla10[id_tipo],ROUND(RAND()*9,0)+1)</f>
        <v>ANZ</v>
      </c>
    </row>
    <row r="40" spans="2:4" x14ac:dyDescent="0.25">
      <c r="B40" t="s">
        <v>311</v>
      </c>
      <c r="C40" t="s">
        <v>497</v>
      </c>
      <c r="D40" t="str" cm="1">
        <f t="array" aca="1" ref="D40" ca="1">INDEX(Tabla10[id_tipo],ROUND(RAND()*9,0)+1)</f>
        <v>GRÚ</v>
      </c>
    </row>
    <row r="41" spans="2:4" x14ac:dyDescent="0.25">
      <c r="B41" t="s">
        <v>312</v>
      </c>
      <c r="C41" t="s">
        <v>498</v>
      </c>
      <c r="D41" t="str" cm="1">
        <f t="array" aca="1" ref="D41" ca="1">INDEX(Tabla10[id_tipo],ROUND(RAND()*9,0)+1)</f>
        <v>ANQ</v>
      </c>
    </row>
    <row r="42" spans="2:4" x14ac:dyDescent="0.25">
      <c r="B42" t="s">
        <v>313</v>
      </c>
      <c r="C42" t="s">
        <v>499</v>
      </c>
      <c r="D42" t="str" cm="1">
        <f t="array" aca="1" ref="D42" ca="1">INDEX(Tabla10[id_tipo],ROUND(RAND()*9,0)+1)</f>
        <v>GRÚ</v>
      </c>
    </row>
    <row r="43" spans="2:4" x14ac:dyDescent="0.25">
      <c r="B43" t="s">
        <v>314</v>
      </c>
      <c r="C43" t="s">
        <v>500</v>
      </c>
      <c r="D43" t="str" cm="1">
        <f t="array" aca="1" ref="D43" ca="1">INDEX(Tabla10[id_tipo],ROUND(RAND()*9,0)+1)</f>
        <v>GRÚ</v>
      </c>
    </row>
    <row r="44" spans="2:4" x14ac:dyDescent="0.25">
      <c r="B44" t="s">
        <v>315</v>
      </c>
      <c r="C44" t="s">
        <v>501</v>
      </c>
      <c r="D44" t="str" cm="1">
        <f t="array" aca="1" ref="D44" ca="1">INDEX(Tabla10[id_tipo],ROUND(RAND()*9,0)+1)</f>
        <v>GRÚ</v>
      </c>
    </row>
    <row r="45" spans="2:4" x14ac:dyDescent="0.25">
      <c r="B45" t="s">
        <v>316</v>
      </c>
      <c r="C45" t="s">
        <v>502</v>
      </c>
      <c r="D45" t="str" cm="1">
        <f t="array" aca="1" ref="D45" ca="1">INDEX(Tabla10[id_tipo],ROUND(RAND()*9,0)+1)</f>
        <v>TRÁ</v>
      </c>
    </row>
    <row r="46" spans="2:4" x14ac:dyDescent="0.25">
      <c r="B46" t="s">
        <v>317</v>
      </c>
      <c r="C46" t="s">
        <v>503</v>
      </c>
      <c r="D46" t="str" cm="1">
        <f t="array" aca="1" ref="D46" ca="1">INDEX(Tabla10[id_tipo],ROUND(RAND()*9,0)+1)</f>
        <v>CIS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E7D1-E32F-49C3-83BC-709F6D32CC76}">
  <dimension ref="C3:E13"/>
  <sheetViews>
    <sheetView workbookViewId="0">
      <selection activeCell="E4" sqref="E4"/>
    </sheetView>
  </sheetViews>
  <sheetFormatPr baseColWidth="10" defaultRowHeight="15" x14ac:dyDescent="0.25"/>
  <cols>
    <col min="3" max="3" width="20.7109375" bestFit="1" customWidth="1"/>
  </cols>
  <sheetData>
    <row r="3" spans="3:5" x14ac:dyDescent="0.25">
      <c r="C3" t="s">
        <v>504</v>
      </c>
      <c r="D3" t="s">
        <v>13</v>
      </c>
      <c r="E3" t="s">
        <v>515</v>
      </c>
    </row>
    <row r="4" spans="3:5" x14ac:dyDescent="0.25">
      <c r="C4" t="s">
        <v>505</v>
      </c>
      <c r="D4" t="s">
        <v>507</v>
      </c>
      <c r="E4" t="str">
        <f t="shared" ref="E4:E13" ca="1" si="0">UPPER(SUBSTITUTE(MID(C4,RANDBETWEEN(1,LEN(C4)-2),3)," ",""))</f>
        <v>URG</v>
      </c>
    </row>
    <row r="5" spans="3:5" x14ac:dyDescent="0.25">
      <c r="C5" t="s">
        <v>516</v>
      </c>
      <c r="D5" t="s">
        <v>508</v>
      </c>
      <c r="E5" t="str">
        <f t="shared" ca="1" si="0"/>
        <v>CIS</v>
      </c>
    </row>
    <row r="6" spans="3:5" x14ac:dyDescent="0.25">
      <c r="C6" t="s">
        <v>518</v>
      </c>
      <c r="D6" t="s">
        <v>509</v>
      </c>
      <c r="E6" t="str">
        <f t="shared" ca="1" si="0"/>
        <v>REF</v>
      </c>
    </row>
    <row r="7" spans="3:5" x14ac:dyDescent="0.25">
      <c r="C7" t="s">
        <v>517</v>
      </c>
      <c r="D7" t="s">
        <v>16</v>
      </c>
      <c r="E7" t="str">
        <f t="shared" ca="1" si="0"/>
        <v>FOR</v>
      </c>
    </row>
    <row r="8" spans="3:5" x14ac:dyDescent="0.25">
      <c r="C8" t="s">
        <v>519</v>
      </c>
      <c r="D8" t="s">
        <v>18</v>
      </c>
      <c r="E8" t="str">
        <f t="shared" ca="1" si="0"/>
        <v>GRÚ</v>
      </c>
    </row>
    <row r="9" spans="3:5" x14ac:dyDescent="0.25">
      <c r="C9" t="s">
        <v>520</v>
      </c>
      <c r="D9" t="s">
        <v>510</v>
      </c>
      <c r="E9" t="str">
        <f t="shared" ca="1" si="0"/>
        <v>UET</v>
      </c>
    </row>
    <row r="10" spans="3:5" x14ac:dyDescent="0.25">
      <c r="C10" t="s">
        <v>521</v>
      </c>
      <c r="D10" t="s">
        <v>511</v>
      </c>
      <c r="E10" t="str">
        <f t="shared" ca="1" si="0"/>
        <v>PAR</v>
      </c>
    </row>
    <row r="11" spans="3:5" x14ac:dyDescent="0.25">
      <c r="C11" t="s">
        <v>506</v>
      </c>
      <c r="D11" t="s">
        <v>512</v>
      </c>
      <c r="E11" t="str">
        <f t="shared" ca="1" si="0"/>
        <v>TRÁ</v>
      </c>
    </row>
    <row r="12" spans="3:5" x14ac:dyDescent="0.25">
      <c r="C12" t="s">
        <v>522</v>
      </c>
      <c r="D12" t="s">
        <v>513</v>
      </c>
      <c r="E12" t="str">
        <f t="shared" ca="1" si="0"/>
        <v>ANQ</v>
      </c>
    </row>
    <row r="13" spans="3:5" x14ac:dyDescent="0.25">
      <c r="C13" t="s">
        <v>523</v>
      </c>
      <c r="D13" t="s">
        <v>514</v>
      </c>
      <c r="E13" t="str">
        <f t="shared" ca="1" si="0"/>
        <v>ANZ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AC14-2443-43D8-AD76-33BABE41589E}">
  <dimension ref="B5:D166"/>
  <sheetViews>
    <sheetView tabSelected="1" workbookViewId="0">
      <selection activeCell="I17" sqref="I17"/>
    </sheetView>
  </sheetViews>
  <sheetFormatPr baseColWidth="10" defaultRowHeight="15" x14ac:dyDescent="0.25"/>
  <cols>
    <col min="2" max="2" width="11.5703125" customWidth="1"/>
    <col min="3" max="3" width="18.42578125" customWidth="1"/>
  </cols>
  <sheetData>
    <row r="5" spans="2:4" x14ac:dyDescent="0.25">
      <c r="B5" t="s">
        <v>463</v>
      </c>
      <c r="C5" t="s">
        <v>19</v>
      </c>
      <c r="D5" t="s">
        <v>20</v>
      </c>
    </row>
    <row r="6" spans="2:4" x14ac:dyDescent="0.25">
      <c r="B6" t="str" cm="1">
        <f t="array" aca="1" ref="B6" ca="1">INDEX(Tabla2[[#All],[matricula]],ROUND(RAND()*40,0)+1)</f>
        <v>8901BBB</v>
      </c>
      <c r="C6" t="str">
        <f ca="1">Paquetes!B5</f>
        <v>P-1</v>
      </c>
      <c r="D6" s="2">
        <f t="shared" ref="D6:D166" ca="1" si="0">RANDBETWEEN(DATE(2023,1,1),TODAY())</f>
        <v>45008</v>
      </c>
    </row>
    <row r="7" spans="2:4" x14ac:dyDescent="0.25">
      <c r="B7" t="str" cm="1">
        <f t="array" aca="1" ref="B7" ca="1">INDEX(Tabla2[[#All],[matricula]],ROUND(RAND()*40,0)+1)</f>
        <v>9012III</v>
      </c>
      <c r="C7" t="str">
        <f ca="1">Paquetes!B6</f>
        <v>P-2</v>
      </c>
      <c r="D7" s="2">
        <f t="shared" ca="1" si="0"/>
        <v>44993</v>
      </c>
    </row>
    <row r="8" spans="2:4" x14ac:dyDescent="0.25">
      <c r="B8" t="str" cm="1">
        <f t="array" aca="1" ref="B8" ca="1">INDEX(Tabla2[[#All],[matricula]],ROUND(RAND()*40,0)+1)</f>
        <v>3456CCC</v>
      </c>
      <c r="C8" t="str">
        <f ca="1">Paquetes!B7</f>
        <v>P-3</v>
      </c>
      <c r="D8" s="2">
        <f t="shared" ca="1" si="0"/>
        <v>44953</v>
      </c>
    </row>
    <row r="9" spans="2:4" x14ac:dyDescent="0.25">
      <c r="B9" t="str" cm="1">
        <f t="array" aca="1" ref="B9" ca="1">INDEX(Tabla2[[#All],[matricula]],ROUND(RAND()*40,0)+1)</f>
        <v>5678EEE</v>
      </c>
      <c r="C9" t="str">
        <f ca="1">Paquetes!B8</f>
        <v>P-4</v>
      </c>
      <c r="D9" s="2">
        <f t="shared" ca="1" si="0"/>
        <v>44948</v>
      </c>
    </row>
    <row r="10" spans="2:4" x14ac:dyDescent="0.25">
      <c r="B10" t="str" cm="1">
        <f t="array" aca="1" ref="B10" ca="1">INDEX(Tabla2[[#All],[matricula]],ROUND(RAND()*40,0)+1)</f>
        <v>9012MMM</v>
      </c>
      <c r="C10" t="str">
        <f ca="1">Paquetes!B9</f>
        <v>P-5</v>
      </c>
      <c r="D10" s="2">
        <f t="shared" ca="1" si="0"/>
        <v>45003</v>
      </c>
    </row>
    <row r="11" spans="2:4" x14ac:dyDescent="0.25">
      <c r="B11" t="str" cm="1">
        <f t="array" aca="1" ref="B11" ca="1">INDEX(Tabla2[[#All],[matricula]],ROUND(RAND()*40,0)+1)</f>
        <v>5678YYY</v>
      </c>
      <c r="C11" t="str">
        <f ca="1">Paquetes!B10</f>
        <v>P-6</v>
      </c>
      <c r="D11" s="2">
        <f t="shared" ca="1" si="0"/>
        <v>44987</v>
      </c>
    </row>
    <row r="12" spans="2:4" x14ac:dyDescent="0.25">
      <c r="B12" t="str" cm="1">
        <f t="array" aca="1" ref="B12" ca="1">INDEX(Tabla2[[#All],[matricula]],ROUND(RAND()*40,0)+1)</f>
        <v>5678III</v>
      </c>
      <c r="C12" t="str">
        <f ca="1">Paquetes!B11</f>
        <v>P-7</v>
      </c>
      <c r="D12" s="2">
        <f t="shared" ca="1" si="0"/>
        <v>44932</v>
      </c>
    </row>
    <row r="13" spans="2:4" x14ac:dyDescent="0.25">
      <c r="B13" t="str" cm="1">
        <f t="array" aca="1" ref="B13" ca="1">INDEX(Tabla2[[#All],[matricula]],ROUND(RAND()*40,0)+1)</f>
        <v>3456WWW</v>
      </c>
      <c r="C13" t="str">
        <f ca="1">Paquetes!B12</f>
        <v>P-8</v>
      </c>
      <c r="D13" s="2">
        <f t="shared" ca="1" si="0"/>
        <v>44935</v>
      </c>
    </row>
    <row r="14" spans="2:4" x14ac:dyDescent="0.25">
      <c r="B14" t="str" cm="1">
        <f t="array" aca="1" ref="B14" ca="1">INDEX(Tabla2[[#All],[matricula]],ROUND(RAND()*40,0)+1)</f>
        <v>9012CCC</v>
      </c>
      <c r="C14" t="str">
        <f ca="1">Paquetes!B13</f>
        <v>P-9</v>
      </c>
      <c r="D14" s="2">
        <f t="shared" ca="1" si="0"/>
        <v>44996</v>
      </c>
    </row>
    <row r="15" spans="2:4" x14ac:dyDescent="0.25">
      <c r="B15" t="str" cm="1">
        <f t="array" aca="1" ref="B15" ca="1">INDEX(Tabla2[[#All],[matricula]],ROUND(RAND()*40,0)+1)</f>
        <v>9012SSS</v>
      </c>
      <c r="C15" t="str">
        <f ca="1">Paquetes!B14</f>
        <v>P-10</v>
      </c>
      <c r="D15" s="2">
        <f t="shared" ca="1" si="0"/>
        <v>44927</v>
      </c>
    </row>
    <row r="16" spans="2:4" x14ac:dyDescent="0.25">
      <c r="B16" t="str" cm="1">
        <f t="array" aca="1" ref="B16" ca="1">INDEX(Tabla2[[#All],[matricula]],ROUND(RAND()*40,0)+1)</f>
        <v>5678III</v>
      </c>
      <c r="C16" t="str">
        <f ca="1">Paquetes!B15</f>
        <v>P-11</v>
      </c>
      <c r="D16" s="2">
        <f t="shared" ca="1" si="0"/>
        <v>45012</v>
      </c>
    </row>
    <row r="17" spans="2:4" x14ac:dyDescent="0.25">
      <c r="B17" t="str" cm="1">
        <f t="array" aca="1" ref="B17" ca="1">INDEX(Tabla2[[#All],[matricula]],ROUND(RAND()*40,0)+1)</f>
        <v>8901BBB</v>
      </c>
      <c r="C17" t="str">
        <f ca="1">Paquetes!B16</f>
        <v>P-12</v>
      </c>
      <c r="D17" s="2">
        <f t="shared" ca="1" si="0"/>
        <v>44943</v>
      </c>
    </row>
    <row r="18" spans="2:4" x14ac:dyDescent="0.25">
      <c r="B18" t="str" cm="1">
        <f t="array" aca="1" ref="B18" ca="1">INDEX(Tabla2[[#All],[matricula]],ROUND(RAND()*40,0)+1)</f>
        <v>3456GGG</v>
      </c>
      <c r="C18" t="str">
        <f ca="1">Paquetes!B17</f>
        <v>P-13</v>
      </c>
      <c r="D18" s="2">
        <f t="shared" ca="1" si="0"/>
        <v>44971</v>
      </c>
    </row>
    <row r="19" spans="2:4" x14ac:dyDescent="0.25">
      <c r="B19" t="str" cm="1">
        <f t="array" aca="1" ref="B19" ca="1">INDEX(Tabla2[[#All],[matricula]],ROUND(RAND()*40,0)+1)</f>
        <v>5678OOO</v>
      </c>
      <c r="C19" t="str">
        <f ca="1">Paquetes!B18</f>
        <v>P-14</v>
      </c>
      <c r="D19" s="2">
        <f t="shared" ca="1" si="0"/>
        <v>44993</v>
      </c>
    </row>
    <row r="20" spans="2:4" x14ac:dyDescent="0.25">
      <c r="B20" t="str" cm="1">
        <f t="array" aca="1" ref="B20" ca="1">INDEX(Tabla2[[#All],[matricula]],ROUND(RAND()*40,0)+1)</f>
        <v>0123NNN</v>
      </c>
      <c r="C20" t="str">
        <f ca="1">Paquetes!B19</f>
        <v>P-15</v>
      </c>
      <c r="D20" s="2">
        <f t="shared" ca="1" si="0"/>
        <v>44982</v>
      </c>
    </row>
    <row r="21" spans="2:4" x14ac:dyDescent="0.25">
      <c r="B21" t="str" cm="1">
        <f t="array" aca="1" ref="B21" ca="1">INDEX(Tabla2[[#All],[matricula]],ROUND(RAND()*40,0)+1)</f>
        <v>4567XXX</v>
      </c>
      <c r="C21" t="str">
        <f ca="1">Paquetes!B20</f>
        <v>P-16</v>
      </c>
      <c r="D21" s="2">
        <f t="shared" ca="1" si="0"/>
        <v>44948</v>
      </c>
    </row>
    <row r="22" spans="2:4" x14ac:dyDescent="0.25">
      <c r="B22" t="str" cm="1">
        <f t="array" aca="1" ref="B22" ca="1">INDEX(Tabla2[[#All],[matricula]],ROUND(RAND()*40,0)+1)</f>
        <v>9012III</v>
      </c>
      <c r="C22" t="str">
        <f ca="1">Paquetes!B21</f>
        <v>P-17</v>
      </c>
      <c r="D22" s="2">
        <f t="shared" ca="1" si="0"/>
        <v>45016</v>
      </c>
    </row>
    <row r="23" spans="2:4" x14ac:dyDescent="0.25">
      <c r="B23" t="str" cm="1">
        <f t="array" aca="1" ref="B23" ca="1">INDEX(Tabla2[[#All],[matricula]],ROUND(RAND()*40,0)+1)</f>
        <v>6789FFF</v>
      </c>
      <c r="C23" t="str">
        <f ca="1">Paquetes!B22</f>
        <v>P-18</v>
      </c>
      <c r="D23" s="2">
        <f t="shared" ca="1" si="0"/>
        <v>44978</v>
      </c>
    </row>
    <row r="24" spans="2:4" x14ac:dyDescent="0.25">
      <c r="B24" t="str" cm="1">
        <f t="array" aca="1" ref="B24" ca="1">INDEX(Tabla2[[#All],[matricula]],ROUND(RAND()*40,0)+1)</f>
        <v>6789FFF</v>
      </c>
      <c r="C24" t="str">
        <f ca="1">Paquetes!B23</f>
        <v>P-19</v>
      </c>
      <c r="D24" s="2">
        <f t="shared" ca="1" si="0"/>
        <v>44928</v>
      </c>
    </row>
    <row r="25" spans="2:4" x14ac:dyDescent="0.25">
      <c r="B25" t="str" cm="1">
        <f t="array" aca="1" ref="B25" ca="1">INDEX(Tabla2[[#All],[matricula]],ROUND(RAND()*40,0)+1)</f>
        <v>0123JJJ</v>
      </c>
      <c r="C25" t="str">
        <f ca="1">Paquetes!B24</f>
        <v>P-20</v>
      </c>
      <c r="D25" s="2">
        <f t="shared" ca="1" si="0"/>
        <v>44990</v>
      </c>
    </row>
    <row r="26" spans="2:4" x14ac:dyDescent="0.25">
      <c r="B26" t="str" cm="1">
        <f t="array" aca="1" ref="B26" ca="1">INDEX(Tabla2[[#All],[matricula]],ROUND(RAND()*40,0)+1)</f>
        <v>1234EEE</v>
      </c>
      <c r="C26" t="str">
        <f ca="1">Paquetes!B25</f>
        <v>P-21</v>
      </c>
      <c r="D26" s="2">
        <f t="shared" ca="1" si="0"/>
        <v>44950</v>
      </c>
    </row>
    <row r="27" spans="2:4" x14ac:dyDescent="0.25">
      <c r="B27" t="str" cm="1">
        <f t="array" aca="1" ref="B27" ca="1">INDEX(Tabla2[[#All],[matricula]],ROUND(RAND()*40,0)+1)</f>
        <v>7890AAA</v>
      </c>
      <c r="C27" t="str">
        <f ca="1">Paquetes!B26</f>
        <v>P-22</v>
      </c>
      <c r="D27" s="2">
        <f t="shared" ca="1" si="0"/>
        <v>44983</v>
      </c>
    </row>
    <row r="28" spans="2:4" x14ac:dyDescent="0.25">
      <c r="B28" t="str" cm="1">
        <f t="array" aca="1" ref="B28" ca="1">INDEX(Tabla2[[#All],[matricula]],ROUND(RAND()*40,0)+1)</f>
        <v>9012MMM</v>
      </c>
      <c r="C28" t="str">
        <f ca="1">Paquetes!B27</f>
        <v>P-23</v>
      </c>
      <c r="D28" s="2">
        <f t="shared" ca="1" si="0"/>
        <v>44995</v>
      </c>
    </row>
    <row r="29" spans="2:4" x14ac:dyDescent="0.25">
      <c r="B29" t="str" cm="1">
        <f t="array" aca="1" ref="B29" ca="1">INDEX(Tabla2[[#All],[matricula]],ROUND(RAND()*40,0)+1)</f>
        <v>4567HHH</v>
      </c>
      <c r="C29" t="str">
        <f ca="1">Paquetes!B28</f>
        <v>P-24</v>
      </c>
      <c r="D29" s="2">
        <f t="shared" ca="1" si="0"/>
        <v>45013</v>
      </c>
    </row>
    <row r="30" spans="2:4" x14ac:dyDescent="0.25">
      <c r="B30" t="str" cm="1">
        <f t="array" aca="1" ref="B30" ca="1">INDEX(Tabla2[[#All],[matricula]],ROUND(RAND()*40,0)+1)</f>
        <v>8901LLL</v>
      </c>
      <c r="C30" t="str">
        <f ca="1">Paquetes!B29</f>
        <v>P-25</v>
      </c>
      <c r="D30" s="2">
        <f t="shared" ca="1" si="0"/>
        <v>44977</v>
      </c>
    </row>
    <row r="31" spans="2:4" x14ac:dyDescent="0.25">
      <c r="B31" t="str" cm="1">
        <f t="array" aca="1" ref="B31" ca="1">INDEX(Tabla2[[#All],[matricula]],ROUND(RAND()*40,0)+1)</f>
        <v>2345LLL</v>
      </c>
      <c r="C31" t="str">
        <f ca="1">Paquetes!B30</f>
        <v>P-26</v>
      </c>
      <c r="D31" s="2">
        <f t="shared" ca="1" si="0"/>
        <v>44956</v>
      </c>
    </row>
    <row r="32" spans="2:4" x14ac:dyDescent="0.25">
      <c r="B32" t="str" cm="1">
        <f t="array" aca="1" ref="B32" ca="1">INDEX(Tabla2[[#All],[matricula]],ROUND(RAND()*40,0)+1)</f>
        <v>5678III</v>
      </c>
      <c r="C32" t="str">
        <f ca="1">Paquetes!B31</f>
        <v>P-27</v>
      </c>
      <c r="D32" s="2">
        <f t="shared" ca="1" si="0"/>
        <v>45001</v>
      </c>
    </row>
    <row r="33" spans="2:4" x14ac:dyDescent="0.25">
      <c r="B33" t="str" cm="1">
        <f t="array" aca="1" ref="B33" ca="1">INDEX(Tabla2[[#All],[matricula]],ROUND(RAND()*40,0)+1)</f>
        <v>5678OOO</v>
      </c>
      <c r="C33" t="str">
        <f ca="1">Paquetes!B32</f>
        <v>P-28</v>
      </c>
      <c r="D33" s="2">
        <f t="shared" ca="1" si="0"/>
        <v>45002</v>
      </c>
    </row>
    <row r="34" spans="2:4" x14ac:dyDescent="0.25">
      <c r="B34" t="str" cm="1">
        <f t="array" aca="1" ref="B34" ca="1">INDEX(Tabla2[[#All],[matricula]],ROUND(RAND()*40,0)+1)</f>
        <v>7890AAA</v>
      </c>
      <c r="C34" t="str">
        <f ca="1">Paquetes!B33</f>
        <v>P-29</v>
      </c>
      <c r="D34" s="2">
        <f t="shared" ca="1" si="0"/>
        <v>44928</v>
      </c>
    </row>
    <row r="35" spans="2:4" x14ac:dyDescent="0.25">
      <c r="B35" t="str" cm="1">
        <f t="array" aca="1" ref="B35" ca="1">INDEX(Tabla2[[#All],[matricula]],ROUND(RAND()*40,0)+1)</f>
        <v>0123TTT</v>
      </c>
      <c r="C35" t="str">
        <f ca="1">Paquetes!B34</f>
        <v>P-30</v>
      </c>
      <c r="D35" s="2">
        <f t="shared" ca="1" si="0"/>
        <v>44963</v>
      </c>
    </row>
    <row r="36" spans="2:4" x14ac:dyDescent="0.25">
      <c r="B36" t="str" cm="1">
        <f t="array" aca="1" ref="B36" ca="1">INDEX(Tabla2[[#All],[matricula]],ROUND(RAND()*40,0)+1)</f>
        <v>7890QQQ</v>
      </c>
      <c r="C36" t="str">
        <f ca="1">Paquetes!B35</f>
        <v>P-31</v>
      </c>
      <c r="D36" s="2">
        <f t="shared" ca="1" si="0"/>
        <v>44964</v>
      </c>
    </row>
    <row r="37" spans="2:4" x14ac:dyDescent="0.25">
      <c r="B37" t="str" cm="1">
        <f t="array" aca="1" ref="B37" ca="1">INDEX(Tabla2[[#All],[matricula]],ROUND(RAND()*40,0)+1)</f>
        <v>9012SSS</v>
      </c>
      <c r="C37" t="str">
        <f ca="1">Paquetes!B36</f>
        <v>P-32</v>
      </c>
      <c r="D37" s="2">
        <f t="shared" ca="1" si="0"/>
        <v>44966</v>
      </c>
    </row>
    <row r="38" spans="2:4" x14ac:dyDescent="0.25">
      <c r="B38" t="str" cm="1">
        <f t="array" aca="1" ref="B38" ca="1">INDEX(Tabla2[[#All],[matricula]],ROUND(RAND()*40,0)+1)</f>
        <v>7890AAA</v>
      </c>
      <c r="C38" t="str">
        <f ca="1">Paquetes!B37</f>
        <v>P-33</v>
      </c>
      <c r="D38" s="2">
        <f t="shared" ca="1" si="0"/>
        <v>44957</v>
      </c>
    </row>
    <row r="39" spans="2:4" x14ac:dyDescent="0.25">
      <c r="B39" t="str" cm="1">
        <f t="array" aca="1" ref="B39" ca="1">INDEX(Tabla2[[#All],[matricula]],ROUND(RAND()*40,0)+1)</f>
        <v>8901RRR</v>
      </c>
      <c r="C39" t="str">
        <f ca="1">Paquetes!B38</f>
        <v>P-34</v>
      </c>
      <c r="D39" s="2">
        <f t="shared" ca="1" si="0"/>
        <v>44932</v>
      </c>
    </row>
    <row r="40" spans="2:4" x14ac:dyDescent="0.25">
      <c r="B40" t="str" cm="1">
        <f t="array" aca="1" ref="B40" ca="1">INDEX(Tabla2[[#All],[matricula]],ROUND(RAND()*40,0)+1)</f>
        <v>9012MMM</v>
      </c>
      <c r="C40" t="str">
        <f ca="1">Paquetes!B39</f>
        <v>P-35</v>
      </c>
      <c r="D40" s="2">
        <f t="shared" ca="1" si="0"/>
        <v>44958</v>
      </c>
    </row>
    <row r="41" spans="2:4" x14ac:dyDescent="0.25">
      <c r="B41" t="str" cm="1">
        <f t="array" aca="1" ref="B41" ca="1">INDEX(Tabla2[[#All],[matricula]],ROUND(RAND()*40,0)+1)</f>
        <v>9012SSS</v>
      </c>
      <c r="C41" t="str">
        <f ca="1">Paquetes!B40</f>
        <v>P-36</v>
      </c>
      <c r="D41" s="2">
        <f t="shared" ca="1" si="0"/>
        <v>44999</v>
      </c>
    </row>
    <row r="42" spans="2:4" x14ac:dyDescent="0.25">
      <c r="B42" t="str" cm="1">
        <f t="array" aca="1" ref="B42" ca="1">INDEX(Tabla2[[#All],[matricula]],ROUND(RAND()*40,0)+1)</f>
        <v>7890AAA</v>
      </c>
      <c r="C42" t="str">
        <f ca="1">Paquetes!B41</f>
        <v>P-37</v>
      </c>
      <c r="D42" s="2">
        <f t="shared" ca="1" si="0"/>
        <v>44932</v>
      </c>
    </row>
    <row r="43" spans="2:4" x14ac:dyDescent="0.25">
      <c r="B43" t="str" cm="1">
        <f t="array" aca="1" ref="B43" ca="1">INDEX(Tabla2[[#All],[matricula]],ROUND(RAND()*40,0)+1)</f>
        <v>4567HHH</v>
      </c>
      <c r="C43" t="str">
        <f ca="1">Paquetes!B42</f>
        <v>P-38</v>
      </c>
      <c r="D43" s="2">
        <f t="shared" ca="1" si="0"/>
        <v>44978</v>
      </c>
    </row>
    <row r="44" spans="2:4" x14ac:dyDescent="0.25">
      <c r="B44" t="str" cm="1">
        <f t="array" aca="1" ref="B44" ca="1">INDEX(Tabla2[[#All],[matricula]],ROUND(RAND()*40,0)+1)</f>
        <v>7890AAA</v>
      </c>
      <c r="C44" t="str">
        <f ca="1">Paquetes!B43</f>
        <v>P-39</v>
      </c>
      <c r="D44" s="2">
        <f t="shared" ca="1" si="0"/>
        <v>44985</v>
      </c>
    </row>
    <row r="45" spans="2:4" x14ac:dyDescent="0.25">
      <c r="B45" t="str" cm="1">
        <f t="array" aca="1" ref="B45" ca="1">INDEX(Tabla2[[#All],[matricula]],ROUND(RAND()*40,0)+1)</f>
        <v>3456CCC</v>
      </c>
      <c r="C45" t="str">
        <f ca="1">Paquetes!B44</f>
        <v>P-40</v>
      </c>
      <c r="D45" s="2">
        <f t="shared" ca="1" si="0"/>
        <v>44929</v>
      </c>
    </row>
    <row r="46" spans="2:4" x14ac:dyDescent="0.25">
      <c r="B46" t="str" cm="1">
        <f t="array" aca="1" ref="B46" ca="1">INDEX(Tabla2[[#All],[matricula]],ROUND(RAND()*40,0)+1)</f>
        <v>5678EEE</v>
      </c>
      <c r="C46" t="str">
        <f ca="1">Paquetes!B45</f>
        <v>P-41</v>
      </c>
      <c r="D46" s="2">
        <f t="shared" ca="1" si="0"/>
        <v>44942</v>
      </c>
    </row>
    <row r="47" spans="2:4" x14ac:dyDescent="0.25">
      <c r="B47" t="str" cm="1">
        <f t="array" aca="1" ref="B47" ca="1">INDEX(Tabla2[[#All],[matricula]],ROUND(RAND()*40,0)+1)</f>
        <v>5678YYY</v>
      </c>
      <c r="C47" t="str">
        <f ca="1">Paquetes!B46</f>
        <v>P-42</v>
      </c>
      <c r="D47" s="2">
        <f t="shared" ca="1" si="0"/>
        <v>44985</v>
      </c>
    </row>
    <row r="48" spans="2:4" x14ac:dyDescent="0.25">
      <c r="B48" t="str" cm="1">
        <f t="array" aca="1" ref="B48" ca="1">INDEX(Tabla2[[#All],[matricula]],ROUND(RAND()*40,0)+1)</f>
        <v>8901HHH</v>
      </c>
      <c r="C48" t="str">
        <f ca="1">Paquetes!B47</f>
        <v>P-43</v>
      </c>
      <c r="D48" s="2">
        <f t="shared" ca="1" si="0"/>
        <v>44950</v>
      </c>
    </row>
    <row r="49" spans="2:4" x14ac:dyDescent="0.25">
      <c r="B49" t="str" cm="1">
        <f t="array" aca="1" ref="B49" ca="1">INDEX(Tabla2[[#All],[matricula]],ROUND(RAND()*40,0)+1)</f>
        <v>5678III</v>
      </c>
      <c r="C49" t="str">
        <f ca="1">Paquetes!B48</f>
        <v>P-44</v>
      </c>
      <c r="D49" s="2">
        <f t="shared" ca="1" si="0"/>
        <v>44973</v>
      </c>
    </row>
    <row r="50" spans="2:4" x14ac:dyDescent="0.25">
      <c r="B50" t="str" cm="1">
        <f t="array" aca="1" ref="B50" ca="1">INDEX(Tabla2[[#All],[matricula]],ROUND(RAND()*40,0)+1)</f>
        <v>7890QQQ</v>
      </c>
      <c r="C50" t="str">
        <f ca="1">Paquetes!B49</f>
        <v>P-45</v>
      </c>
      <c r="D50" s="2">
        <f t="shared" ca="1" si="0"/>
        <v>44960</v>
      </c>
    </row>
    <row r="51" spans="2:4" x14ac:dyDescent="0.25">
      <c r="B51" t="str" cm="1">
        <f t="array" aca="1" ref="B51" ca="1">INDEX(Tabla2[[#All],[matricula]],ROUND(RAND()*40,0)+1)</f>
        <v>9012III</v>
      </c>
      <c r="C51" t="str">
        <f ca="1">Paquetes!B50</f>
        <v>P-46</v>
      </c>
      <c r="D51" s="2">
        <f t="shared" ca="1" si="0"/>
        <v>45001</v>
      </c>
    </row>
    <row r="52" spans="2:4" x14ac:dyDescent="0.25">
      <c r="B52" t="str" cm="1">
        <f t="array" aca="1" ref="B52" ca="1">INDEX(Tabla2[[#All],[matricula]],ROUND(RAND()*40,0)+1)</f>
        <v>4567XXX</v>
      </c>
      <c r="C52" t="str">
        <f ca="1">Paquetes!B51</f>
        <v>P-47</v>
      </c>
      <c r="D52" s="2">
        <f t="shared" ca="1" si="0"/>
        <v>45016</v>
      </c>
    </row>
    <row r="53" spans="2:4" x14ac:dyDescent="0.25">
      <c r="B53" t="str" cm="1">
        <f t="array" aca="1" ref="B53" ca="1">INDEX(Tabla2[[#All],[matricula]],ROUND(RAND()*40,0)+1)</f>
        <v>9012CCC</v>
      </c>
      <c r="C53" t="str">
        <f ca="1">Paquetes!B52</f>
        <v>P-48</v>
      </c>
      <c r="D53" s="2">
        <f t="shared" ca="1" si="0"/>
        <v>44934</v>
      </c>
    </row>
    <row r="54" spans="2:4" x14ac:dyDescent="0.25">
      <c r="B54" t="str" cm="1">
        <f t="array" aca="1" ref="B54" ca="1">INDEX(Tabla2[[#All],[matricula]],ROUND(RAND()*40,0)+1)</f>
        <v>8901HHH</v>
      </c>
      <c r="C54" t="str">
        <f ca="1">Paquetes!B53</f>
        <v>P-49</v>
      </c>
      <c r="D54" s="2">
        <f t="shared" ca="1" si="0"/>
        <v>44935</v>
      </c>
    </row>
    <row r="55" spans="2:4" x14ac:dyDescent="0.25">
      <c r="B55" t="str" cm="1">
        <f t="array" aca="1" ref="B55" ca="1">INDEX(Tabla2[[#All],[matricula]],ROUND(RAND()*40,0)+1)</f>
        <v>2345VVV</v>
      </c>
      <c r="C55" t="str">
        <f ca="1">Paquetes!B54</f>
        <v>P-50</v>
      </c>
      <c r="D55" s="2">
        <f t="shared" ca="1" si="0"/>
        <v>44931</v>
      </c>
    </row>
    <row r="56" spans="2:4" x14ac:dyDescent="0.25">
      <c r="B56" t="str" cm="1">
        <f t="array" aca="1" ref="B56" ca="1">INDEX(Tabla2[[#All],[matricula]],ROUND(RAND()*40,0)+1)</f>
        <v>9012SSS</v>
      </c>
      <c r="C56" t="str">
        <f ca="1">Paquetes!B55</f>
        <v>P-51</v>
      </c>
      <c r="D56" s="2">
        <f t="shared" ca="1" si="0"/>
        <v>44941</v>
      </c>
    </row>
    <row r="57" spans="2:4" x14ac:dyDescent="0.25">
      <c r="B57" t="str" cm="1">
        <f t="array" aca="1" ref="B57" ca="1">INDEX(Tabla2[[#All],[matricula]],ROUND(RAND()*40,0)+1)</f>
        <v>3456CCC</v>
      </c>
      <c r="C57" t="str">
        <f ca="1">Paquetes!B56</f>
        <v>P-52</v>
      </c>
      <c r="D57" s="2">
        <f t="shared" ca="1" si="0"/>
        <v>44999</v>
      </c>
    </row>
    <row r="58" spans="2:4" x14ac:dyDescent="0.25">
      <c r="B58" t="str" cm="1">
        <f t="array" aca="1" ref="B58" ca="1">INDEX(Tabla2[[#All],[matricula]],ROUND(RAND()*40,0)+1)</f>
        <v>1234AAA</v>
      </c>
      <c r="C58" t="str">
        <f ca="1">Paquetes!B57</f>
        <v>P-53</v>
      </c>
      <c r="D58" s="2">
        <f t="shared" ca="1" si="0"/>
        <v>44941</v>
      </c>
    </row>
    <row r="59" spans="2:4" x14ac:dyDescent="0.25">
      <c r="B59" t="str" cm="1">
        <f t="array" aca="1" ref="B59" ca="1">INDEX(Tabla2[[#All],[matricula]],ROUND(RAND()*40,0)+1)</f>
        <v>2345VVV</v>
      </c>
      <c r="C59" t="str">
        <f ca="1">Paquetes!B58</f>
        <v>P-54</v>
      </c>
      <c r="D59" s="2">
        <f t="shared" ca="1" si="0"/>
        <v>45001</v>
      </c>
    </row>
    <row r="60" spans="2:4" x14ac:dyDescent="0.25">
      <c r="B60" t="str" cm="1">
        <f t="array" aca="1" ref="B60" ca="1">INDEX(Tabla2[[#All],[matricula]],ROUND(RAND()*40,0)+1)</f>
        <v>3456CCC</v>
      </c>
      <c r="C60" t="str">
        <f ca="1">Paquetes!B59</f>
        <v>P-55</v>
      </c>
      <c r="D60" s="2">
        <f t="shared" ca="1" si="0"/>
        <v>44933</v>
      </c>
    </row>
    <row r="61" spans="2:4" x14ac:dyDescent="0.25">
      <c r="B61" t="str" cm="1">
        <f t="array" aca="1" ref="B61" ca="1">INDEX(Tabla2[[#All],[matricula]],ROUND(RAND()*40,0)+1)</f>
        <v>9012III</v>
      </c>
      <c r="C61" t="str">
        <f ca="1">Paquetes!B60</f>
        <v>P-56</v>
      </c>
      <c r="D61" s="2">
        <f t="shared" ca="1" si="0"/>
        <v>44930</v>
      </c>
    </row>
    <row r="62" spans="2:4" x14ac:dyDescent="0.25">
      <c r="B62" t="str" cm="1">
        <f t="array" aca="1" ref="B62" ca="1">INDEX(Tabla2[[#All],[matricula]],ROUND(RAND()*40,0)+1)</f>
        <v>4567HHH</v>
      </c>
      <c r="C62" t="str">
        <f ca="1">Paquetes!B61</f>
        <v>P-57</v>
      </c>
      <c r="D62" s="2">
        <f t="shared" ca="1" si="0"/>
        <v>44992</v>
      </c>
    </row>
    <row r="63" spans="2:4" x14ac:dyDescent="0.25">
      <c r="B63" t="str" cm="1">
        <f t="array" aca="1" ref="B63" ca="1">INDEX(Tabla2[[#All],[matricula]],ROUND(RAND()*40,0)+1)</f>
        <v>3456GGG</v>
      </c>
      <c r="C63" t="str">
        <f ca="1">Paquetes!B62</f>
        <v>P-58</v>
      </c>
      <c r="D63" s="2">
        <f t="shared" ca="1" si="0"/>
        <v>44942</v>
      </c>
    </row>
    <row r="64" spans="2:4" x14ac:dyDescent="0.25">
      <c r="B64" t="str" cm="1">
        <f t="array" aca="1" ref="B64" ca="1">INDEX(Tabla2[[#All],[matricula]],ROUND(RAND()*40,0)+1)</f>
        <v>7890QQQ</v>
      </c>
      <c r="C64" t="str">
        <f ca="1">Paquetes!B63</f>
        <v>P-59</v>
      </c>
      <c r="D64" s="2">
        <f t="shared" ca="1" si="0"/>
        <v>45019</v>
      </c>
    </row>
    <row r="65" spans="2:4" x14ac:dyDescent="0.25">
      <c r="B65" t="str" cm="1">
        <f t="array" aca="1" ref="B65" ca="1">INDEX(Tabla2[[#All],[matricula]],ROUND(RAND()*40,0)+1)</f>
        <v>9012MMM</v>
      </c>
      <c r="C65" t="str">
        <f ca="1">Paquetes!B64</f>
        <v>P-60</v>
      </c>
      <c r="D65" s="2">
        <f t="shared" ca="1" si="0"/>
        <v>44949</v>
      </c>
    </row>
    <row r="66" spans="2:4" x14ac:dyDescent="0.25">
      <c r="B66" t="str" cm="1">
        <f t="array" aca="1" ref="B66" ca="1">INDEX(Tabla2[[#All],[matricula]],ROUND(RAND()*40,0)+1)</f>
        <v>4567HHH</v>
      </c>
      <c r="C66" t="str">
        <f ca="1">Paquetes!B65</f>
        <v>P-61</v>
      </c>
      <c r="D66" s="2">
        <f t="shared" ca="1" si="0"/>
        <v>45012</v>
      </c>
    </row>
    <row r="67" spans="2:4" x14ac:dyDescent="0.25">
      <c r="B67" t="str" cm="1">
        <f t="array" aca="1" ref="B67" ca="1">INDEX(Tabla2[[#All],[matricula]],ROUND(RAND()*40,0)+1)</f>
        <v>8901LLL</v>
      </c>
      <c r="C67" t="str">
        <f ca="1">Paquetes!B66</f>
        <v>P-62</v>
      </c>
      <c r="D67" s="2">
        <f t="shared" ca="1" si="0"/>
        <v>44944</v>
      </c>
    </row>
    <row r="68" spans="2:4" x14ac:dyDescent="0.25">
      <c r="B68" t="str" cm="1">
        <f t="array" aca="1" ref="B68" ca="1">INDEX(Tabla2[[#All],[matricula]],ROUND(RAND()*40,0)+1)</f>
        <v>1234AAA</v>
      </c>
      <c r="C68" t="str">
        <f ca="1">Paquetes!B67</f>
        <v>P-63</v>
      </c>
      <c r="D68" s="2">
        <f t="shared" ca="1" si="0"/>
        <v>45014</v>
      </c>
    </row>
    <row r="69" spans="2:4" x14ac:dyDescent="0.25">
      <c r="B69" t="str" cm="1">
        <f t="array" aca="1" ref="B69" ca="1">INDEX(Tabla2[[#All],[matricula]],ROUND(RAND()*40,0)+1)</f>
        <v>8901LLL</v>
      </c>
      <c r="C69" t="str">
        <f ca="1">Paquetes!B68</f>
        <v>P-64</v>
      </c>
      <c r="D69" s="2">
        <f t="shared" ca="1" si="0"/>
        <v>45007</v>
      </c>
    </row>
    <row r="70" spans="2:4" x14ac:dyDescent="0.25">
      <c r="B70" t="str" cm="1">
        <f t="array" aca="1" ref="B70" ca="1">INDEX(Tabla2[[#All],[matricula]],ROUND(RAND()*40,0)+1)</f>
        <v>1234UUU</v>
      </c>
      <c r="C70" t="str">
        <f ca="1">Paquetes!B69</f>
        <v>P-65</v>
      </c>
      <c r="D70" s="2">
        <f t="shared" ca="1" si="0"/>
        <v>44990</v>
      </c>
    </row>
    <row r="71" spans="2:4" x14ac:dyDescent="0.25">
      <c r="B71" t="str" cm="1">
        <f t="array" aca="1" ref="B71" ca="1">INDEX(Tabla2[[#All],[matricula]],ROUND(RAND()*40,0)+1)</f>
        <v>3456WWW</v>
      </c>
      <c r="C71" t="str">
        <f ca="1">Paquetes!B70</f>
        <v>P-66</v>
      </c>
      <c r="D71" s="2">
        <f t="shared" ca="1" si="0"/>
        <v>44950</v>
      </c>
    </row>
    <row r="72" spans="2:4" x14ac:dyDescent="0.25">
      <c r="B72" t="str" cm="1">
        <f t="array" aca="1" ref="B72" ca="1">INDEX(Tabla2[[#All],[matricula]],ROUND(RAND()*40,0)+1)</f>
        <v>8901HHH</v>
      </c>
      <c r="C72" t="str">
        <f ca="1">Paquetes!B71</f>
        <v>P-67</v>
      </c>
      <c r="D72" s="2">
        <f t="shared" ca="1" si="0"/>
        <v>44935</v>
      </c>
    </row>
    <row r="73" spans="2:4" x14ac:dyDescent="0.25">
      <c r="B73" t="str" cm="1">
        <f t="array" aca="1" ref="B73" ca="1">INDEX(Tabla2[[#All],[matricula]],ROUND(RAND()*40,0)+1)</f>
        <v>2345LLL</v>
      </c>
      <c r="C73" t="str">
        <f ca="1">Paquetes!B72</f>
        <v>P-68</v>
      </c>
      <c r="D73" s="2">
        <f t="shared" ca="1" si="0"/>
        <v>45016</v>
      </c>
    </row>
    <row r="74" spans="2:4" x14ac:dyDescent="0.25">
      <c r="B74" t="str" cm="1">
        <f t="array" aca="1" ref="B74" ca="1">INDEX(Tabla2[[#All],[matricula]],ROUND(RAND()*40,0)+1)</f>
        <v>3456GGG</v>
      </c>
      <c r="C74" t="str">
        <f ca="1">Paquetes!B73</f>
        <v>P-69</v>
      </c>
      <c r="D74" s="2">
        <f t="shared" ca="1" si="0"/>
        <v>44988</v>
      </c>
    </row>
    <row r="75" spans="2:4" x14ac:dyDescent="0.25">
      <c r="B75" t="str" cm="1">
        <f t="array" aca="1" ref="B75" ca="1">INDEX(Tabla2[[#All],[matricula]],ROUND(RAND()*40,0)+1)</f>
        <v>0123NNN</v>
      </c>
      <c r="C75" t="str">
        <f ca="1">Paquetes!B74</f>
        <v>P-70</v>
      </c>
      <c r="D75" s="2">
        <f t="shared" ca="1" si="0"/>
        <v>45018</v>
      </c>
    </row>
    <row r="76" spans="2:4" x14ac:dyDescent="0.25">
      <c r="B76" t="str" cm="1">
        <f t="array" aca="1" ref="B76" ca="1">INDEX(Tabla2[[#All],[matricula]],ROUND(RAND()*40,0)+1)</f>
        <v>7890AAA</v>
      </c>
      <c r="C76" t="str">
        <f ca="1">Paquetes!B75</f>
        <v>P-71</v>
      </c>
      <c r="D76" s="2">
        <f t="shared" ca="1" si="0"/>
        <v>44947</v>
      </c>
    </row>
    <row r="77" spans="2:4" x14ac:dyDescent="0.25">
      <c r="B77" t="str" cm="1">
        <f t="array" aca="1" ref="B77" ca="1">INDEX(Tabla2[[#All],[matricula]],ROUND(RAND()*40,0)+1)</f>
        <v>1234EEE</v>
      </c>
      <c r="C77" t="str">
        <f ca="1">Paquetes!B76</f>
        <v>P-72</v>
      </c>
      <c r="D77" s="2">
        <f t="shared" ca="1" si="0"/>
        <v>45002</v>
      </c>
    </row>
    <row r="78" spans="2:4" x14ac:dyDescent="0.25">
      <c r="B78" t="str" cm="1">
        <f t="array" aca="1" ref="B78" ca="1">INDEX(Tabla2[[#All],[matricula]],ROUND(RAND()*40,0)+1)</f>
        <v>9012SSS</v>
      </c>
      <c r="C78" t="str">
        <f ca="1">Paquetes!B77</f>
        <v>P-73</v>
      </c>
      <c r="D78" s="2">
        <f t="shared" ca="1" si="0"/>
        <v>44934</v>
      </c>
    </row>
    <row r="79" spans="2:4" x14ac:dyDescent="0.25">
      <c r="B79" t="str" cm="1">
        <f t="array" aca="1" ref="B79" ca="1">INDEX(Tabla2[[#All],[matricula]],ROUND(RAND()*40,0)+1)</f>
        <v>9012III</v>
      </c>
      <c r="C79" t="str">
        <f ca="1">Paquetes!B78</f>
        <v>P-74</v>
      </c>
      <c r="D79" s="2">
        <f t="shared" ca="1" si="0"/>
        <v>44984</v>
      </c>
    </row>
    <row r="80" spans="2:4" x14ac:dyDescent="0.25">
      <c r="B80" t="str" cm="1">
        <f t="array" aca="1" ref="B80" ca="1">INDEX(Tabla2[[#All],[matricula]],ROUND(RAND()*40,0)+1)</f>
        <v>2345BBB</v>
      </c>
      <c r="C80" t="str">
        <f ca="1">Paquetes!B79</f>
        <v>P-75</v>
      </c>
      <c r="D80" s="2">
        <f t="shared" ca="1" si="0"/>
        <v>44977</v>
      </c>
    </row>
    <row r="81" spans="2:4" x14ac:dyDescent="0.25">
      <c r="B81" t="str" cm="1">
        <f t="array" aca="1" ref="B81" ca="1">INDEX(Tabla2[[#All],[matricula]],ROUND(RAND()*40,0)+1)</f>
        <v>0123TTT</v>
      </c>
      <c r="C81" t="str">
        <f ca="1">Paquetes!B80</f>
        <v>P-76</v>
      </c>
      <c r="D81" s="2">
        <f t="shared" ca="1" si="0"/>
        <v>45001</v>
      </c>
    </row>
    <row r="82" spans="2:4" x14ac:dyDescent="0.25">
      <c r="B82" t="str" cm="1">
        <f t="array" aca="1" ref="B82" ca="1">INDEX(Tabla2[[#All],[matricula]],ROUND(RAND()*40,0)+1)</f>
        <v>8901BBB</v>
      </c>
      <c r="C82" t="str">
        <f ca="1">Paquetes!B81</f>
        <v>P-77</v>
      </c>
      <c r="D82" s="2">
        <f t="shared" ca="1" si="0"/>
        <v>45017</v>
      </c>
    </row>
    <row r="83" spans="2:4" x14ac:dyDescent="0.25">
      <c r="B83" t="str" cm="1">
        <f t="array" aca="1" ref="B83" ca="1">INDEX(Tabla2[[#All],[matricula]],ROUND(RAND()*40,0)+1)</f>
        <v>0123TTT</v>
      </c>
      <c r="C83" t="str">
        <f ca="1">Paquetes!B82</f>
        <v>P-78</v>
      </c>
      <c r="D83" s="2">
        <f t="shared" ca="1" si="0"/>
        <v>44963</v>
      </c>
    </row>
    <row r="84" spans="2:4" x14ac:dyDescent="0.25">
      <c r="B84" t="str" cm="1">
        <f t="array" aca="1" ref="B84" ca="1">INDEX(Tabla2[[#All],[matricula]],ROUND(RAND()*40,0)+1)</f>
        <v>6789JJJ</v>
      </c>
      <c r="C84" t="str">
        <f ca="1">Paquetes!B83</f>
        <v>P-79</v>
      </c>
      <c r="D84" s="2">
        <f t="shared" ca="1" si="0"/>
        <v>44941</v>
      </c>
    </row>
    <row r="85" spans="2:4" x14ac:dyDescent="0.25">
      <c r="B85" t="str" cm="1">
        <f t="array" aca="1" ref="B85" ca="1">INDEX(Tabla2[[#All],[matricula]],ROUND(RAND()*40,0)+1)</f>
        <v>6789PPP</v>
      </c>
      <c r="C85" t="str">
        <f ca="1">Paquetes!B84</f>
        <v>P-80</v>
      </c>
      <c r="D85" s="2">
        <f t="shared" ca="1" si="0"/>
        <v>44965</v>
      </c>
    </row>
    <row r="86" spans="2:4" x14ac:dyDescent="0.25">
      <c r="B86" t="str" cm="1">
        <f t="array" aca="1" ref="B86" ca="1">INDEX(Tabla2[[#All],[matricula]],ROUND(RAND()*40,0)+1)</f>
        <v>2345BBB</v>
      </c>
      <c r="C86" t="str">
        <f ca="1">Paquetes!B85</f>
        <v>P-81</v>
      </c>
      <c r="D86" s="2">
        <f t="shared" ca="1" si="0"/>
        <v>44958</v>
      </c>
    </row>
    <row r="87" spans="2:4" x14ac:dyDescent="0.25">
      <c r="B87" t="str" cm="1">
        <f t="array" aca="1" ref="B87" ca="1">INDEX(Tabla2[[#All],[matricula]],ROUND(RAND()*40,0)+1)</f>
        <v>3456WWW</v>
      </c>
      <c r="C87" t="str">
        <f ca="1">Paquetes!B86</f>
        <v>P-82</v>
      </c>
      <c r="D87" s="2">
        <f t="shared" ca="1" si="0"/>
        <v>44933</v>
      </c>
    </row>
    <row r="88" spans="2:4" x14ac:dyDescent="0.25">
      <c r="B88" t="str" cm="1">
        <f t="array" aca="1" ref="B88" ca="1">INDEX(Tabla2[[#All],[matricula]],ROUND(RAND()*40,0)+1)</f>
        <v>8901RRR</v>
      </c>
      <c r="C88" t="str">
        <f ca="1">Paquetes!B87</f>
        <v>P-83</v>
      </c>
      <c r="D88" s="2">
        <f t="shared" ca="1" si="0"/>
        <v>44966</v>
      </c>
    </row>
    <row r="89" spans="2:4" x14ac:dyDescent="0.25">
      <c r="B89" t="str" cm="1">
        <f t="array" aca="1" ref="B89" ca="1">INDEX(Tabla2[[#All],[matricula]],ROUND(RAND()*40,0)+1)</f>
        <v>0123NNN</v>
      </c>
      <c r="C89" t="str">
        <f ca="1">Paquetes!B88</f>
        <v>P-84</v>
      </c>
      <c r="D89" s="2">
        <f t="shared" ca="1" si="0"/>
        <v>44955</v>
      </c>
    </row>
    <row r="90" spans="2:4" x14ac:dyDescent="0.25">
      <c r="B90" t="str" cm="1">
        <f t="array" aca="1" ref="B90" ca="1">INDEX(Tabla2[[#All],[matricula]],ROUND(RAND()*40,0)+1)</f>
        <v>5678III</v>
      </c>
      <c r="C90" t="str">
        <f ca="1">Paquetes!B89</f>
        <v>P-85</v>
      </c>
      <c r="D90" s="2">
        <f t="shared" ca="1" si="0"/>
        <v>44969</v>
      </c>
    </row>
    <row r="91" spans="2:4" x14ac:dyDescent="0.25">
      <c r="B91" t="str" cm="1">
        <f t="array" aca="1" ref="B91" ca="1">INDEX(Tabla2[[#All],[matricula]],ROUND(RAND()*40,0)+1)</f>
        <v>8901RRR</v>
      </c>
      <c r="C91" t="str">
        <f ca="1">Paquetes!B90</f>
        <v>P-86</v>
      </c>
      <c r="D91" s="2">
        <f t="shared" ca="1" si="0"/>
        <v>44972</v>
      </c>
    </row>
    <row r="92" spans="2:4" x14ac:dyDescent="0.25">
      <c r="B92" t="str" cm="1">
        <f t="array" aca="1" ref="B92" ca="1">INDEX(Tabla2[[#All],[matricula]],ROUND(RAND()*40,0)+1)</f>
        <v>6789PPP</v>
      </c>
      <c r="C92" t="str">
        <f ca="1">Paquetes!B91</f>
        <v>P-87</v>
      </c>
      <c r="D92" s="2">
        <f t="shared" ca="1" si="0"/>
        <v>44988</v>
      </c>
    </row>
    <row r="93" spans="2:4" x14ac:dyDescent="0.25">
      <c r="B93" t="str" cm="1">
        <f t="array" aca="1" ref="B93" ca="1">INDEX(Tabla2[[#All],[matricula]],ROUND(RAND()*40,0)+1)</f>
        <v>6789ZZZ</v>
      </c>
      <c r="C93" t="str">
        <f ca="1">Paquetes!B92</f>
        <v>P-88</v>
      </c>
      <c r="D93" s="2">
        <f t="shared" ca="1" si="0"/>
        <v>44963</v>
      </c>
    </row>
    <row r="94" spans="2:4" x14ac:dyDescent="0.25">
      <c r="B94" t="str" cm="1">
        <f t="array" aca="1" ref="B94" ca="1">INDEX(Tabla2[[#All],[matricula]],ROUND(RAND()*40,0)+1)</f>
        <v>6789PPP</v>
      </c>
      <c r="C94" t="str">
        <f ca="1">Paquetes!B93</f>
        <v>P-89</v>
      </c>
      <c r="D94" s="2">
        <f t="shared" ca="1" si="0"/>
        <v>45000</v>
      </c>
    </row>
    <row r="95" spans="2:4" x14ac:dyDescent="0.25">
      <c r="B95" t="str" cm="1">
        <f t="array" aca="1" ref="B95" ca="1">INDEX(Tabla2[[#All],[matricula]],ROUND(RAND()*40,0)+1)</f>
        <v>1234AAA</v>
      </c>
      <c r="C95" t="str">
        <f ca="1">Paquetes!B94</f>
        <v>P-90</v>
      </c>
      <c r="D95" s="2">
        <f t="shared" ca="1" si="0"/>
        <v>44953</v>
      </c>
    </row>
    <row r="96" spans="2:4" x14ac:dyDescent="0.25">
      <c r="B96" t="str" cm="1">
        <f t="array" aca="1" ref="B96" ca="1">INDEX(Tabla2[[#All],[matricula]],ROUND(RAND()*40,0)+1)</f>
        <v>3456GGG</v>
      </c>
      <c r="C96" t="str">
        <f ca="1">Paquetes!B95</f>
        <v>P-91</v>
      </c>
      <c r="D96" s="2">
        <f t="shared" ca="1" si="0"/>
        <v>44949</v>
      </c>
    </row>
    <row r="97" spans="2:4" x14ac:dyDescent="0.25">
      <c r="B97" t="str" cm="1">
        <f t="array" aca="1" ref="B97" ca="1">INDEX(Tabla2[[#All],[matricula]],ROUND(RAND()*40,0)+1)</f>
        <v>9012CCC</v>
      </c>
      <c r="C97" t="str">
        <f ca="1">Paquetes!B96</f>
        <v>P-92</v>
      </c>
      <c r="D97" s="2">
        <f t="shared" ca="1" si="0"/>
        <v>44960</v>
      </c>
    </row>
    <row r="98" spans="2:4" x14ac:dyDescent="0.25">
      <c r="B98" t="str" cm="1">
        <f t="array" aca="1" ref="B98" ca="1">INDEX(Tabla2[[#All],[matricula]],ROUND(RAND()*40,0)+1)</f>
        <v>6789ZZZ</v>
      </c>
      <c r="C98" t="str">
        <f ca="1">Paquetes!B97</f>
        <v>P-93</v>
      </c>
      <c r="D98" s="2">
        <f t="shared" ca="1" si="0"/>
        <v>44933</v>
      </c>
    </row>
    <row r="99" spans="2:4" x14ac:dyDescent="0.25">
      <c r="B99" t="str" cm="1">
        <f t="array" aca="1" ref="B99" ca="1">INDEX(Tabla2[[#All],[matricula]],ROUND(RAND()*40,0)+1)</f>
        <v>1234UUU</v>
      </c>
      <c r="C99" t="str">
        <f ca="1">Paquetes!B98</f>
        <v>P-94</v>
      </c>
      <c r="D99" s="2">
        <f t="shared" ca="1" si="0"/>
        <v>44953</v>
      </c>
    </row>
    <row r="100" spans="2:4" x14ac:dyDescent="0.25">
      <c r="B100" t="str" cm="1">
        <f t="array" aca="1" ref="B100" ca="1">INDEX(Tabla2[[#All],[matricula]],ROUND(RAND()*40,0)+1)</f>
        <v>7890GGG</v>
      </c>
      <c r="C100" t="str">
        <f ca="1">Paquetes!B99</f>
        <v>P-95</v>
      </c>
      <c r="D100" s="2">
        <f t="shared" ca="1" si="0"/>
        <v>44971</v>
      </c>
    </row>
    <row r="101" spans="2:4" x14ac:dyDescent="0.25">
      <c r="B101" t="str" cm="1">
        <f t="array" aca="1" ref="B101" ca="1">INDEX(Tabla2[[#All],[matricula]],ROUND(RAND()*40,0)+1)</f>
        <v>5678OOO</v>
      </c>
      <c r="C101" t="str">
        <f ca="1">Paquetes!B100</f>
        <v>P-96</v>
      </c>
      <c r="D101" s="2">
        <f t="shared" ca="1" si="0"/>
        <v>44941</v>
      </c>
    </row>
    <row r="102" spans="2:4" x14ac:dyDescent="0.25">
      <c r="B102" t="str" cm="1">
        <f t="array" aca="1" ref="B102" ca="1">INDEX(Tabla2[[#All],[matricula]],ROUND(RAND()*40,0)+1)</f>
        <v>6789FFF</v>
      </c>
      <c r="C102" t="str">
        <f ca="1">Paquetes!B101</f>
        <v>P-97</v>
      </c>
      <c r="D102" s="2">
        <f t="shared" ca="1" si="0"/>
        <v>44962</v>
      </c>
    </row>
    <row r="103" spans="2:4" x14ac:dyDescent="0.25">
      <c r="B103" t="str" cm="1">
        <f t="array" aca="1" ref="B103" ca="1">INDEX(Tabla2[[#All],[matricula]],ROUND(RAND()*40,0)+1)</f>
        <v>4567DDD</v>
      </c>
      <c r="C103" t="str">
        <f ca="1">Paquetes!B102</f>
        <v>P-98</v>
      </c>
      <c r="D103" s="2">
        <f t="shared" ca="1" si="0"/>
        <v>44982</v>
      </c>
    </row>
    <row r="104" spans="2:4" x14ac:dyDescent="0.25">
      <c r="B104" t="str" cm="1">
        <f t="array" aca="1" ref="B104" ca="1">INDEX(Tabla2[[#All],[matricula]],ROUND(RAND()*40,0)+1)</f>
        <v>1234EEE</v>
      </c>
      <c r="C104" t="str">
        <f ca="1">Paquetes!B103</f>
        <v>P-99</v>
      </c>
      <c r="D104" s="2">
        <f t="shared" ca="1" si="0"/>
        <v>44935</v>
      </c>
    </row>
    <row r="105" spans="2:4" x14ac:dyDescent="0.25">
      <c r="B105" t="str" cm="1">
        <f t="array" aca="1" ref="B105" ca="1">INDEX(Tabla2[[#All],[matricula]],ROUND(RAND()*40,0)+1)</f>
        <v>7890QQQ</v>
      </c>
      <c r="C105" t="str">
        <f ca="1">Paquetes!B104</f>
        <v>P-100</v>
      </c>
      <c r="D105" s="2">
        <f t="shared" ca="1" si="0"/>
        <v>44972</v>
      </c>
    </row>
    <row r="106" spans="2:4" x14ac:dyDescent="0.25">
      <c r="B106" t="str" cm="1">
        <f t="array" aca="1" ref="B106" ca="1">INDEX(Tabla2[[#All],[matricula]],ROUND(RAND()*40,0)+1)</f>
        <v>7890KKK</v>
      </c>
      <c r="C106" t="str">
        <f ca="1">Paquetes!B105</f>
        <v>P-101</v>
      </c>
      <c r="D106" s="2">
        <f t="shared" ca="1" si="0"/>
        <v>44973</v>
      </c>
    </row>
    <row r="107" spans="2:4" x14ac:dyDescent="0.25">
      <c r="B107" t="str" cm="1">
        <f t="array" aca="1" ref="B107" ca="1">INDEX(Tabla2[[#All],[matricula]],ROUND(RAND()*40,0)+1)</f>
        <v>3456MMM</v>
      </c>
      <c r="C107" t="str">
        <f ca="1">Paquetes!B106</f>
        <v>P-102</v>
      </c>
      <c r="D107" s="2">
        <f t="shared" ca="1" si="0"/>
        <v>44944</v>
      </c>
    </row>
    <row r="108" spans="2:4" x14ac:dyDescent="0.25">
      <c r="B108" t="str" cm="1">
        <f t="array" aca="1" ref="B108" ca="1">INDEX(Tabla2[[#All],[matricula]],ROUND(RAND()*40,0)+1)</f>
        <v>2345BBB</v>
      </c>
      <c r="C108" t="str">
        <f ca="1">Paquetes!B107</f>
        <v>P-103</v>
      </c>
      <c r="D108" s="2">
        <f t="shared" ca="1" si="0"/>
        <v>44945</v>
      </c>
    </row>
    <row r="109" spans="2:4" x14ac:dyDescent="0.25">
      <c r="B109" t="str" cm="1">
        <f t="array" aca="1" ref="B109" ca="1">INDEX(Tabla2[[#All],[matricula]],ROUND(RAND()*40,0)+1)</f>
        <v>1234UUU</v>
      </c>
      <c r="C109" t="str">
        <f ca="1">Paquetes!B108</f>
        <v>P-104</v>
      </c>
      <c r="D109" s="2">
        <f t="shared" ca="1" si="0"/>
        <v>44935</v>
      </c>
    </row>
    <row r="110" spans="2:4" x14ac:dyDescent="0.25">
      <c r="B110" t="str" cm="1">
        <f t="array" aca="1" ref="B110" ca="1">INDEX(Tabla2[[#All],[matricula]],ROUND(RAND()*40,0)+1)</f>
        <v>3456MMM</v>
      </c>
      <c r="C110" t="str">
        <f ca="1">Paquetes!B109</f>
        <v>P-105</v>
      </c>
      <c r="D110" s="2">
        <f t="shared" ca="1" si="0"/>
        <v>44981</v>
      </c>
    </row>
    <row r="111" spans="2:4" x14ac:dyDescent="0.25">
      <c r="B111" t="str" cm="1">
        <f t="array" aca="1" ref="B111" ca="1">INDEX(Tabla2[[#All],[matricula]],ROUND(RAND()*40,0)+1)</f>
        <v>9012MMM</v>
      </c>
      <c r="C111" t="str">
        <f ca="1">Paquetes!B110</f>
        <v>P-106</v>
      </c>
      <c r="D111" s="2">
        <f t="shared" ca="1" si="0"/>
        <v>44965</v>
      </c>
    </row>
    <row r="112" spans="2:4" x14ac:dyDescent="0.25">
      <c r="B112" t="str" cm="1">
        <f t="array" aca="1" ref="B112" ca="1">INDEX(Tabla2[[#All],[matricula]],ROUND(RAND()*40,0)+1)</f>
        <v>0123JJJ</v>
      </c>
      <c r="C112" t="str">
        <f ca="1">Paquetes!B111</f>
        <v>P-107</v>
      </c>
      <c r="D112" s="2">
        <f t="shared" ca="1" si="0"/>
        <v>44983</v>
      </c>
    </row>
    <row r="113" spans="2:4" x14ac:dyDescent="0.25">
      <c r="B113" t="str" cm="1">
        <f t="array" aca="1" ref="B113" ca="1">INDEX(Tabla2[[#All],[matricula]],ROUND(RAND()*40,0)+1)</f>
        <v>6789ZZZ</v>
      </c>
      <c r="C113" t="str">
        <f ca="1">Paquetes!B112</f>
        <v>P-108</v>
      </c>
      <c r="D113" s="2">
        <f t="shared" ca="1" si="0"/>
        <v>44979</v>
      </c>
    </row>
    <row r="114" spans="2:4" x14ac:dyDescent="0.25">
      <c r="B114" t="str" cm="1">
        <f t="array" aca="1" ref="B114" ca="1">INDEX(Tabla2[[#All],[matricula]],ROUND(RAND()*40,0)+1)</f>
        <v>1234EEE</v>
      </c>
      <c r="C114" t="str">
        <f ca="1">Paquetes!B113</f>
        <v>P-109</v>
      </c>
      <c r="D114" s="2">
        <f t="shared" ca="1" si="0"/>
        <v>44952</v>
      </c>
    </row>
    <row r="115" spans="2:4" x14ac:dyDescent="0.25">
      <c r="B115" t="str" cm="1">
        <f t="array" aca="1" ref="B115" ca="1">INDEX(Tabla2[[#All],[matricula]],ROUND(RAND()*40,0)+1)</f>
        <v>9012III</v>
      </c>
      <c r="C115" t="str">
        <f ca="1">Paquetes!B114</f>
        <v>P-110</v>
      </c>
      <c r="D115" s="2">
        <f t="shared" ca="1" si="0"/>
        <v>44967</v>
      </c>
    </row>
    <row r="116" spans="2:4" x14ac:dyDescent="0.25">
      <c r="B116" t="str" cm="1">
        <f t="array" aca="1" ref="B116" ca="1">INDEX(Tabla2[[#All],[matricula]],ROUND(RAND()*40,0)+1)</f>
        <v>6789FFF</v>
      </c>
      <c r="C116" t="str">
        <f ca="1">Paquetes!B115</f>
        <v>P-111</v>
      </c>
      <c r="D116" s="2">
        <f t="shared" ca="1" si="0"/>
        <v>44938</v>
      </c>
    </row>
    <row r="117" spans="2:4" x14ac:dyDescent="0.25">
      <c r="B117" t="str" cm="1">
        <f t="array" aca="1" ref="B117" ca="1">INDEX(Tabla2[[#All],[matricula]],ROUND(RAND()*40,0)+1)</f>
        <v>2345LLL</v>
      </c>
      <c r="C117" t="str">
        <f ca="1">Paquetes!B116</f>
        <v>P-112</v>
      </c>
      <c r="D117" s="2">
        <f t="shared" ca="1" si="0"/>
        <v>44960</v>
      </c>
    </row>
    <row r="118" spans="2:4" x14ac:dyDescent="0.25">
      <c r="B118" t="str" cm="1">
        <f t="array" aca="1" ref="B118" ca="1">INDEX(Tabla2[[#All],[matricula]],ROUND(RAND()*40,0)+1)</f>
        <v>6789FFF</v>
      </c>
      <c r="C118" t="str">
        <f ca="1">Paquetes!B117</f>
        <v>P-113</v>
      </c>
      <c r="D118" s="2">
        <f t="shared" ca="1" si="0"/>
        <v>44945</v>
      </c>
    </row>
    <row r="119" spans="2:4" x14ac:dyDescent="0.25">
      <c r="B119" t="str" cm="1">
        <f t="array" aca="1" ref="B119" ca="1">INDEX(Tabla2[[#All],[matricula]],ROUND(RAND()*40,0)+1)</f>
        <v>6789FFF</v>
      </c>
      <c r="C119" t="str">
        <f ca="1">Paquetes!B118</f>
        <v>P-114</v>
      </c>
      <c r="D119" s="2">
        <f t="shared" ca="1" si="0"/>
        <v>44941</v>
      </c>
    </row>
    <row r="120" spans="2:4" x14ac:dyDescent="0.25">
      <c r="B120" t="str" cm="1">
        <f t="array" aca="1" ref="B120" ca="1">INDEX(Tabla2[[#All],[matricula]],ROUND(RAND()*40,0)+1)</f>
        <v>8901BBB</v>
      </c>
      <c r="C120" t="str">
        <f ca="1">Paquetes!B119</f>
        <v>P-115</v>
      </c>
      <c r="D120" s="2">
        <f t="shared" ca="1" si="0"/>
        <v>44971</v>
      </c>
    </row>
    <row r="121" spans="2:4" x14ac:dyDescent="0.25">
      <c r="B121" t="str" cm="1">
        <f t="array" aca="1" ref="B121" ca="1">INDEX(Tabla2[[#All],[matricula]],ROUND(RAND()*40,0)+1)</f>
        <v>6789PPP</v>
      </c>
      <c r="C121" t="str">
        <f ca="1">Paquetes!B120</f>
        <v>P-116</v>
      </c>
      <c r="D121" s="2">
        <f t="shared" ca="1" si="0"/>
        <v>44942</v>
      </c>
    </row>
    <row r="122" spans="2:4" x14ac:dyDescent="0.25">
      <c r="B122" t="str" cm="1">
        <f t="array" aca="1" ref="B122" ca="1">INDEX(Tabla2[[#All],[matricula]],ROUND(RAND()*40,0)+1)</f>
        <v>1234UUU</v>
      </c>
      <c r="C122" t="str">
        <f ca="1">Paquetes!B121</f>
        <v>P-117</v>
      </c>
      <c r="D122" s="2">
        <f t="shared" ca="1" si="0"/>
        <v>44943</v>
      </c>
    </row>
    <row r="123" spans="2:4" x14ac:dyDescent="0.25">
      <c r="B123" t="str" cm="1">
        <f t="array" aca="1" ref="B123" ca="1">INDEX(Tabla2[[#All],[matricula]],ROUND(RAND()*40,0)+1)</f>
        <v>2345LLL</v>
      </c>
      <c r="C123" t="str">
        <f ca="1">Paquetes!B122</f>
        <v>P-118</v>
      </c>
      <c r="D123" s="2">
        <f t="shared" ca="1" si="0"/>
        <v>44945</v>
      </c>
    </row>
    <row r="124" spans="2:4" x14ac:dyDescent="0.25">
      <c r="B124" t="str" cm="1">
        <f t="array" aca="1" ref="B124" ca="1">INDEX(Tabla2[[#All],[matricula]],ROUND(RAND()*40,0)+1)</f>
        <v>5678YYY</v>
      </c>
      <c r="C124" t="str">
        <f ca="1">Paquetes!B123</f>
        <v>P-119</v>
      </c>
      <c r="D124" s="2">
        <f t="shared" ca="1" si="0"/>
        <v>44984</v>
      </c>
    </row>
    <row r="125" spans="2:4" x14ac:dyDescent="0.25">
      <c r="B125" t="str" cm="1">
        <f t="array" aca="1" ref="B125" ca="1">INDEX(Tabla2[[#All],[matricula]],ROUND(RAND()*40,0)+1)</f>
        <v>2345FFF</v>
      </c>
      <c r="C125" t="str">
        <f ca="1">Paquetes!B124</f>
        <v>P-120</v>
      </c>
      <c r="D125" s="2">
        <f t="shared" ca="1" si="0"/>
        <v>44946</v>
      </c>
    </row>
    <row r="126" spans="2:4" x14ac:dyDescent="0.25">
      <c r="B126" t="str" cm="1">
        <f t="array" aca="1" ref="B126" ca="1">INDEX(Tabla2[[#All],[matricula]],ROUND(RAND()*40,0)+1)</f>
        <v>0123TTT</v>
      </c>
      <c r="C126" t="str">
        <f ca="1">Paquetes!B125</f>
        <v>P-121</v>
      </c>
      <c r="D126" s="2">
        <f t="shared" ca="1" si="0"/>
        <v>44951</v>
      </c>
    </row>
    <row r="127" spans="2:4" x14ac:dyDescent="0.25">
      <c r="B127" t="str" cm="1">
        <f t="array" aca="1" ref="B127" ca="1">INDEX(Tabla2[[#All],[matricula]],ROUND(RAND()*40,0)+1)</f>
        <v>6789ZZZ</v>
      </c>
      <c r="C127" t="str">
        <f ca="1">Paquetes!B126</f>
        <v>P-122</v>
      </c>
      <c r="D127" s="2">
        <f t="shared" ca="1" si="0"/>
        <v>45005</v>
      </c>
    </row>
    <row r="128" spans="2:4" x14ac:dyDescent="0.25">
      <c r="B128" t="str" cm="1">
        <f t="array" aca="1" ref="B128" ca="1">INDEX(Tabla2[[#All],[matricula]],ROUND(RAND()*40,0)+1)</f>
        <v>5678YYY</v>
      </c>
      <c r="C128" t="str">
        <f ca="1">Paquetes!B127</f>
        <v>P-123</v>
      </c>
      <c r="D128" s="2">
        <f t="shared" ca="1" si="0"/>
        <v>44979</v>
      </c>
    </row>
    <row r="129" spans="2:4" x14ac:dyDescent="0.25">
      <c r="B129" t="str" cm="1">
        <f t="array" aca="1" ref="B129" ca="1">INDEX(Tabla2[[#All],[matricula]],ROUND(RAND()*40,0)+1)</f>
        <v>6789ZZZ</v>
      </c>
      <c r="C129" t="str">
        <f ca="1">Paquetes!B128</f>
        <v>P-124</v>
      </c>
      <c r="D129" s="2">
        <f t="shared" ca="1" si="0"/>
        <v>45002</v>
      </c>
    </row>
    <row r="130" spans="2:4" x14ac:dyDescent="0.25">
      <c r="B130" t="str" cm="1">
        <f t="array" aca="1" ref="B130" ca="1">INDEX(Tabla2[[#All],[matricula]],ROUND(RAND()*40,0)+1)</f>
        <v>0123JJJ</v>
      </c>
      <c r="C130" t="str">
        <f ca="1">Paquetes!B129</f>
        <v>P-125</v>
      </c>
      <c r="D130" s="2">
        <f t="shared" ca="1" si="0"/>
        <v>45005</v>
      </c>
    </row>
    <row r="131" spans="2:4" x14ac:dyDescent="0.25">
      <c r="B131" t="str" cm="1">
        <f t="array" aca="1" ref="B131" ca="1">INDEX(Tabla2[[#All],[matricula]],ROUND(RAND()*40,0)+1)</f>
        <v>9012MMM</v>
      </c>
      <c r="C131" t="str">
        <f ca="1">Paquetes!B130</f>
        <v>P-126</v>
      </c>
      <c r="D131" s="2">
        <f t="shared" ca="1" si="0"/>
        <v>44936</v>
      </c>
    </row>
    <row r="132" spans="2:4" x14ac:dyDescent="0.25">
      <c r="B132" t="str" cm="1">
        <f t="array" aca="1" ref="B132" ca="1">INDEX(Tabla2[[#All],[matricula]],ROUND(RAND()*40,0)+1)</f>
        <v>3456CCC</v>
      </c>
      <c r="C132" t="str">
        <f ca="1">Paquetes!B131</f>
        <v>P-127</v>
      </c>
      <c r="D132" s="2">
        <f t="shared" ca="1" si="0"/>
        <v>44973</v>
      </c>
    </row>
    <row r="133" spans="2:4" x14ac:dyDescent="0.25">
      <c r="B133" t="str" cm="1">
        <f t="array" aca="1" ref="B133" ca="1">INDEX(Tabla2[[#All],[matricula]],ROUND(RAND()*40,0)+1)</f>
        <v>6789FFF</v>
      </c>
      <c r="C133" t="str">
        <f ca="1">Paquetes!B132</f>
        <v>P-128</v>
      </c>
      <c r="D133" s="2">
        <f t="shared" ca="1" si="0"/>
        <v>44991</v>
      </c>
    </row>
    <row r="134" spans="2:4" x14ac:dyDescent="0.25">
      <c r="B134" t="str" cm="1">
        <f t="array" aca="1" ref="B134" ca="1">INDEX(Tabla2[[#All],[matricula]],ROUND(RAND()*40,0)+1)</f>
        <v>0123TTT</v>
      </c>
      <c r="C134" t="str">
        <f ca="1">Paquetes!B133</f>
        <v>P-129</v>
      </c>
      <c r="D134" s="2">
        <f t="shared" ca="1" si="0"/>
        <v>45003</v>
      </c>
    </row>
    <row r="135" spans="2:4" x14ac:dyDescent="0.25">
      <c r="B135" t="str" cm="1">
        <f t="array" aca="1" ref="B135" ca="1">INDEX(Tabla2[[#All],[matricula]],ROUND(RAND()*40,0)+1)</f>
        <v>8901RRR</v>
      </c>
      <c r="C135" t="str">
        <f ca="1">Paquetes!B134</f>
        <v>P-130</v>
      </c>
      <c r="D135" s="2">
        <f t="shared" ca="1" si="0"/>
        <v>44962</v>
      </c>
    </row>
    <row r="136" spans="2:4" x14ac:dyDescent="0.25">
      <c r="B136" t="str" cm="1">
        <f t="array" aca="1" ref="B136" ca="1">INDEX(Tabla2[[#All],[matricula]],ROUND(RAND()*40,0)+1)</f>
        <v>7890GGG</v>
      </c>
      <c r="C136" t="str">
        <f ca="1">Paquetes!B135</f>
        <v>P-131</v>
      </c>
      <c r="D136" s="2">
        <f t="shared" ca="1" si="0"/>
        <v>45018</v>
      </c>
    </row>
    <row r="137" spans="2:4" x14ac:dyDescent="0.25">
      <c r="B137" t="str" cm="1">
        <f t="array" aca="1" ref="B137" ca="1">INDEX(Tabla2[[#All],[matricula]],ROUND(RAND()*40,0)+1)</f>
        <v>0123DDD</v>
      </c>
      <c r="C137" t="str">
        <f ca="1">Paquetes!B136</f>
        <v>P-132</v>
      </c>
      <c r="D137" s="2">
        <f t="shared" ca="1" si="0"/>
        <v>44991</v>
      </c>
    </row>
    <row r="138" spans="2:4" x14ac:dyDescent="0.25">
      <c r="B138" t="str" cm="1">
        <f t="array" aca="1" ref="B138" ca="1">INDEX(Tabla2[[#All],[matricula]],ROUND(RAND()*40,0)+1)</f>
        <v>9012III</v>
      </c>
      <c r="C138" t="str">
        <f ca="1">Paquetes!B137</f>
        <v>P-133</v>
      </c>
      <c r="D138" s="2">
        <f t="shared" ca="1" si="0"/>
        <v>44936</v>
      </c>
    </row>
    <row r="139" spans="2:4" x14ac:dyDescent="0.25">
      <c r="B139" t="str" cm="1">
        <f t="array" aca="1" ref="B139" ca="1">INDEX(Tabla2[[#All],[matricula]],ROUND(RAND()*40,0)+1)</f>
        <v>matricula</v>
      </c>
      <c r="C139" t="str">
        <f ca="1">Paquetes!B138</f>
        <v>P-134</v>
      </c>
      <c r="D139" s="2">
        <f t="shared" ca="1" si="0"/>
        <v>44985</v>
      </c>
    </row>
    <row r="140" spans="2:4" x14ac:dyDescent="0.25">
      <c r="B140" t="str" cm="1">
        <f t="array" aca="1" ref="B140" ca="1">INDEX(Tabla2[[#All],[matricula]],ROUND(RAND()*40,0)+1)</f>
        <v>6789PPP</v>
      </c>
      <c r="C140" t="str">
        <f ca="1">Paquetes!B139</f>
        <v>P-135</v>
      </c>
      <c r="D140" s="2">
        <f t="shared" ca="1" si="0"/>
        <v>45010</v>
      </c>
    </row>
    <row r="141" spans="2:4" x14ac:dyDescent="0.25">
      <c r="B141" t="str" cm="1">
        <f t="array" aca="1" ref="B141" ca="1">INDEX(Tabla2[[#All],[matricula]],ROUND(RAND()*40,0)+1)</f>
        <v>1234EEE</v>
      </c>
      <c r="C141" t="str">
        <f ca="1">Paquetes!B140</f>
        <v>P-136</v>
      </c>
      <c r="D141" s="2">
        <f t="shared" ca="1" si="0"/>
        <v>45005</v>
      </c>
    </row>
    <row r="142" spans="2:4" x14ac:dyDescent="0.25">
      <c r="B142" t="str" cm="1">
        <f t="array" aca="1" ref="B142" ca="1">INDEX(Tabla2[[#All],[matricula]],ROUND(RAND()*40,0)+1)</f>
        <v>7890QQQ</v>
      </c>
      <c r="C142" t="str">
        <f ca="1">Paquetes!B141</f>
        <v>P-137</v>
      </c>
      <c r="D142" s="2">
        <f t="shared" ca="1" si="0"/>
        <v>44933</v>
      </c>
    </row>
    <row r="143" spans="2:4" x14ac:dyDescent="0.25">
      <c r="B143" t="str" cm="1">
        <f t="array" aca="1" ref="B143" ca="1">INDEX(Tabla2[[#All],[matricula]],ROUND(RAND()*40,0)+1)</f>
        <v>3456GGG</v>
      </c>
      <c r="C143" t="str">
        <f ca="1">Paquetes!B142</f>
        <v>P-138</v>
      </c>
      <c r="D143" s="2">
        <f t="shared" ca="1" si="0"/>
        <v>44980</v>
      </c>
    </row>
    <row r="144" spans="2:4" x14ac:dyDescent="0.25">
      <c r="B144" t="str" cm="1">
        <f t="array" aca="1" ref="B144" ca="1">INDEX(Tabla2[[#All],[matricula]],ROUND(RAND()*40,0)+1)</f>
        <v>6789FFF</v>
      </c>
      <c r="C144" t="str">
        <f ca="1">Paquetes!B143</f>
        <v>P-139</v>
      </c>
      <c r="D144" s="2">
        <f t="shared" ca="1" si="0"/>
        <v>44979</v>
      </c>
    </row>
    <row r="145" spans="2:4" x14ac:dyDescent="0.25">
      <c r="B145" t="str" cm="1">
        <f t="array" aca="1" ref="B145" ca="1">INDEX(Tabla2[[#All],[matricula]],ROUND(RAND()*40,0)+1)</f>
        <v>2345LLL</v>
      </c>
      <c r="C145" t="str">
        <f ca="1">Paquetes!B144</f>
        <v>P-140</v>
      </c>
      <c r="D145" s="2">
        <f t="shared" ca="1" si="0"/>
        <v>45015</v>
      </c>
    </row>
    <row r="146" spans="2:4" x14ac:dyDescent="0.25">
      <c r="B146" t="str" cm="1">
        <f t="array" aca="1" ref="B146" ca="1">INDEX(Tabla2[[#All],[matricula]],ROUND(RAND()*40,0)+1)</f>
        <v>5678OOO</v>
      </c>
      <c r="C146" t="str">
        <f ca="1">Paquetes!B145</f>
        <v>P-141</v>
      </c>
      <c r="D146" s="2">
        <f t="shared" ca="1" si="0"/>
        <v>44943</v>
      </c>
    </row>
    <row r="147" spans="2:4" x14ac:dyDescent="0.25">
      <c r="B147" t="str" cm="1">
        <f t="array" aca="1" ref="B147" ca="1">INDEX(Tabla2[[#All],[matricula]],ROUND(RAND()*40,0)+1)</f>
        <v>9012CCC</v>
      </c>
      <c r="C147" t="str">
        <f ca="1">Paquetes!B146</f>
        <v>P-142</v>
      </c>
      <c r="D147" s="2">
        <f t="shared" ca="1" si="0"/>
        <v>44940</v>
      </c>
    </row>
    <row r="148" spans="2:4" x14ac:dyDescent="0.25">
      <c r="B148" t="str" cm="1">
        <f t="array" aca="1" ref="B148" ca="1">INDEX(Tabla2[[#All],[matricula]],ROUND(RAND()*40,0)+1)</f>
        <v>2345VVV</v>
      </c>
      <c r="C148" t="str">
        <f ca="1">Paquetes!B147</f>
        <v>P-143</v>
      </c>
      <c r="D148" s="2">
        <f t="shared" ca="1" si="0"/>
        <v>45017</v>
      </c>
    </row>
    <row r="149" spans="2:4" x14ac:dyDescent="0.25">
      <c r="B149" t="str" cm="1">
        <f t="array" aca="1" ref="B149" ca="1">INDEX(Tabla2[[#All],[matricula]],ROUND(RAND()*40,0)+1)</f>
        <v>0123TTT</v>
      </c>
      <c r="C149" t="str">
        <f ca="1">Paquetes!B148</f>
        <v>P-144</v>
      </c>
      <c r="D149" s="2">
        <f t="shared" ca="1" si="0"/>
        <v>45018</v>
      </c>
    </row>
    <row r="150" spans="2:4" x14ac:dyDescent="0.25">
      <c r="B150" t="str" cm="1">
        <f t="array" aca="1" ref="B150" ca="1">INDEX(Tabla2[[#All],[matricula]],ROUND(RAND()*40,0)+1)</f>
        <v>8901BBB</v>
      </c>
      <c r="C150" t="str">
        <f ca="1">Paquetes!B149</f>
        <v>P-145</v>
      </c>
      <c r="D150" s="2">
        <f t="shared" ca="1" si="0"/>
        <v>44962</v>
      </c>
    </row>
    <row r="151" spans="2:4" x14ac:dyDescent="0.25">
      <c r="B151" t="str" cm="1">
        <f t="array" aca="1" ref="B151" ca="1">INDEX(Tabla2[[#All],[matricula]],ROUND(RAND()*40,0)+1)</f>
        <v>4567DDD</v>
      </c>
      <c r="C151" t="str">
        <f ca="1">Paquetes!B150</f>
        <v>P-146</v>
      </c>
      <c r="D151" s="2">
        <f t="shared" ca="1" si="0"/>
        <v>44962</v>
      </c>
    </row>
    <row r="152" spans="2:4" x14ac:dyDescent="0.25">
      <c r="B152" t="str" cm="1">
        <f t="array" aca="1" ref="B152" ca="1">INDEX(Tabla2[[#All],[matricula]],ROUND(RAND()*40,0)+1)</f>
        <v>8901LLL</v>
      </c>
      <c r="C152" t="str">
        <f ca="1">Paquetes!B151</f>
        <v>P-147</v>
      </c>
      <c r="D152" s="2">
        <f t="shared" ca="1" si="0"/>
        <v>45006</v>
      </c>
    </row>
    <row r="153" spans="2:4" x14ac:dyDescent="0.25">
      <c r="B153" t="str" cm="1">
        <f t="array" aca="1" ref="B153" ca="1">INDEX(Tabla2[[#All],[matricula]],ROUND(RAND()*40,0)+1)</f>
        <v>5678EEE</v>
      </c>
      <c r="C153" t="str">
        <f ca="1">Paquetes!B152</f>
        <v>P-148</v>
      </c>
      <c r="D153" s="2">
        <f t="shared" ca="1" si="0"/>
        <v>44981</v>
      </c>
    </row>
    <row r="154" spans="2:4" x14ac:dyDescent="0.25">
      <c r="B154" t="str" cm="1">
        <f t="array" aca="1" ref="B154" ca="1">INDEX(Tabla2[[#All],[matricula]],ROUND(RAND()*40,0)+1)</f>
        <v>5678III</v>
      </c>
      <c r="C154" t="str">
        <f ca="1">Paquetes!B153</f>
        <v>P-149</v>
      </c>
      <c r="D154" s="2">
        <f t="shared" ca="1" si="0"/>
        <v>45019</v>
      </c>
    </row>
    <row r="155" spans="2:4" x14ac:dyDescent="0.25">
      <c r="B155" t="str" cm="1">
        <f t="array" aca="1" ref="B155" ca="1">INDEX(Tabla2[[#All],[matricula]],ROUND(RAND()*40,0)+1)</f>
        <v>5678III</v>
      </c>
      <c r="C155" t="str">
        <f ca="1">Paquetes!B154</f>
        <v>P-150</v>
      </c>
      <c r="D155" s="2">
        <f t="shared" ca="1" si="0"/>
        <v>44938</v>
      </c>
    </row>
    <row r="156" spans="2:4" x14ac:dyDescent="0.25">
      <c r="B156" t="str" cm="1">
        <f t="array" aca="1" ref="B156" ca="1">INDEX(Tabla2[[#All],[matricula]],ROUND(RAND()*40,0)+1)</f>
        <v>4567DDD</v>
      </c>
      <c r="C156" t="str">
        <f ca="1">Paquetes!B155</f>
        <v>P-151</v>
      </c>
      <c r="D156" s="2">
        <f t="shared" ca="1" si="0"/>
        <v>44994</v>
      </c>
    </row>
    <row r="157" spans="2:4" x14ac:dyDescent="0.25">
      <c r="B157" t="str" cm="1">
        <f t="array" aca="1" ref="B157" ca="1">INDEX(Tabla2[[#All],[matricula]],ROUND(RAND()*40,0)+1)</f>
        <v>9012III</v>
      </c>
      <c r="C157" t="str">
        <f ca="1">Paquetes!B156</f>
        <v>P-152</v>
      </c>
      <c r="D157" s="2">
        <f t="shared" ca="1" si="0"/>
        <v>44955</v>
      </c>
    </row>
    <row r="158" spans="2:4" x14ac:dyDescent="0.25">
      <c r="B158" t="str" cm="1">
        <f t="array" aca="1" ref="B158" ca="1">INDEX(Tabla2[[#All],[matricula]],ROUND(RAND()*40,0)+1)</f>
        <v>6789PPP</v>
      </c>
      <c r="C158" t="str">
        <f ca="1">Paquetes!B157</f>
        <v>P-153</v>
      </c>
      <c r="D158" s="2">
        <f t="shared" ca="1" si="0"/>
        <v>44956</v>
      </c>
    </row>
    <row r="159" spans="2:4" x14ac:dyDescent="0.25">
      <c r="B159" t="str" cm="1">
        <f t="array" aca="1" ref="B159" ca="1">INDEX(Tabla2[[#All],[matricula]],ROUND(RAND()*40,0)+1)</f>
        <v>5678YYY</v>
      </c>
      <c r="C159" t="str">
        <f ca="1">Paquetes!B158</f>
        <v>P-154</v>
      </c>
      <c r="D159" s="2">
        <f t="shared" ca="1" si="0"/>
        <v>45016</v>
      </c>
    </row>
    <row r="160" spans="2:4" x14ac:dyDescent="0.25">
      <c r="B160" t="str" cm="1">
        <f t="array" aca="1" ref="B160" ca="1">INDEX(Tabla2[[#All],[matricula]],ROUND(RAND()*40,0)+1)</f>
        <v>3456CCC</v>
      </c>
      <c r="C160" t="str">
        <f ca="1">Paquetes!B159</f>
        <v>P-155</v>
      </c>
      <c r="D160" s="2">
        <f t="shared" ca="1" si="0"/>
        <v>44973</v>
      </c>
    </row>
    <row r="161" spans="2:4" x14ac:dyDescent="0.25">
      <c r="B161" t="str" cm="1">
        <f t="array" aca="1" ref="B161" ca="1">INDEX(Tabla2[[#All],[matricula]],ROUND(RAND()*40,0)+1)</f>
        <v>0123TTT</v>
      </c>
      <c r="C161" t="str">
        <f ca="1">Paquetes!B160</f>
        <v>P-156</v>
      </c>
      <c r="D161" s="2">
        <f t="shared" ca="1" si="0"/>
        <v>44959</v>
      </c>
    </row>
    <row r="162" spans="2:4" x14ac:dyDescent="0.25">
      <c r="B162" t="str" cm="1">
        <f t="array" aca="1" ref="B162" ca="1">INDEX(Tabla2[[#All],[matricula]],ROUND(RAND()*40,0)+1)</f>
        <v>9012MMM</v>
      </c>
      <c r="C162" t="str">
        <f ca="1">Paquetes!B161</f>
        <v>P-157</v>
      </c>
      <c r="D162" s="2">
        <f t="shared" ca="1" si="0"/>
        <v>44956</v>
      </c>
    </row>
    <row r="163" spans="2:4" x14ac:dyDescent="0.25">
      <c r="B163" t="str" cm="1">
        <f t="array" aca="1" ref="B163" ca="1">INDEX(Tabla2[[#All],[matricula]],ROUND(RAND()*40,0)+1)</f>
        <v>0123JJJ</v>
      </c>
      <c r="C163" t="str">
        <f ca="1">Paquetes!B162</f>
        <v>P-158</v>
      </c>
      <c r="D163" s="2">
        <f t="shared" ca="1" si="0"/>
        <v>44938</v>
      </c>
    </row>
    <row r="164" spans="2:4" x14ac:dyDescent="0.25">
      <c r="B164" t="str" cm="1">
        <f t="array" aca="1" ref="B164" ca="1">INDEX(Tabla2[[#All],[matricula]],ROUND(RAND()*40,0)+1)</f>
        <v>8901BBB</v>
      </c>
      <c r="C164" t="str">
        <f ca="1">Paquetes!B163</f>
        <v>P-159</v>
      </c>
      <c r="D164" s="2">
        <f t="shared" ca="1" si="0"/>
        <v>44932</v>
      </c>
    </row>
    <row r="165" spans="2:4" x14ac:dyDescent="0.25">
      <c r="B165" t="str" cm="1">
        <f t="array" aca="1" ref="B165" ca="1">INDEX(Tabla2[[#All],[matricula]],ROUND(RAND()*40,0)+1)</f>
        <v>3456MMM</v>
      </c>
      <c r="C165" t="str">
        <f ca="1">Paquetes!B164</f>
        <v>P-160</v>
      </c>
      <c r="D165" s="2">
        <f t="shared" ca="1" si="0"/>
        <v>44955</v>
      </c>
    </row>
    <row r="166" spans="2:4" x14ac:dyDescent="0.25">
      <c r="B166" t="str" cm="1">
        <f t="array" aca="1" ref="B166" ca="1">INDEX(Tabla2[[#All],[matricula]],ROUND(RAND()*40,0)+1)</f>
        <v>2345VVV</v>
      </c>
      <c r="C166" t="str">
        <f ca="1">Paquetes!B165</f>
        <v>P-161</v>
      </c>
      <c r="D166" s="2">
        <f t="shared" ca="1" si="0"/>
        <v>44974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0C69-7800-47D1-99E8-3EF88459F0E0}">
  <dimension ref="B4:D165"/>
  <sheetViews>
    <sheetView topLeftCell="A154" workbookViewId="0">
      <selection activeCell="B14" sqref="B14:B15"/>
    </sheetView>
  </sheetViews>
  <sheetFormatPr baseColWidth="10" defaultRowHeight="15" x14ac:dyDescent="0.25"/>
  <cols>
    <col min="3" max="3" width="13.28515625" customWidth="1"/>
    <col min="4" max="4" width="13.85546875" customWidth="1"/>
  </cols>
  <sheetData>
    <row r="4" spans="2:4" x14ac:dyDescent="0.25">
      <c r="B4" t="s">
        <v>21</v>
      </c>
      <c r="C4" t="s">
        <v>22</v>
      </c>
      <c r="D4" t="s">
        <v>23</v>
      </c>
    </row>
    <row r="5" spans="2:4" x14ac:dyDescent="0.25">
      <c r="B5" t="str">
        <f ca="1">CONCATENATE("P","-",COUNTIF($D$5:D5,"*"))</f>
        <v>P-1</v>
      </c>
      <c r="C5" t="str" cm="1">
        <f t="array" aca="1" ref="C5" ca="1">INDEX(Hoja6!L$6:L$98,ROUND(RAND()*92,0)+1)</f>
        <v>Plancha</v>
      </c>
      <c r="D5" t="str" cm="1">
        <f t="array" aca="1" ref="D5" ca="1">INDEX(Tabla11[Dni],ROUND(RAND()*103,0)+1)</f>
        <v>34567890P</v>
      </c>
    </row>
    <row r="6" spans="2:4" x14ac:dyDescent="0.25">
      <c r="B6" t="str">
        <f ca="1">CONCATENATE("P","-",COUNTIF($D$5:D6,"*"))</f>
        <v>P-2</v>
      </c>
      <c r="C6" t="str" cm="1">
        <f t="array" aca="1" ref="C6" ca="1">INDEX(Hoja6!L$6:L$98,ROUND(RAND()*92,0)+1)</f>
        <v>Manta</v>
      </c>
      <c r="D6" t="str" cm="1">
        <f t="array" aca="1" ref="D6" ca="1">INDEX(Tabla11[Dni],ROUND(RAND()*103,0)+1)</f>
        <v>45678901C</v>
      </c>
    </row>
    <row r="7" spans="2:4" x14ac:dyDescent="0.25">
      <c r="B7" t="str">
        <f ca="1">CONCATENATE("P","-",COUNTIF($D$5:D7,"*"))</f>
        <v>P-3</v>
      </c>
      <c r="C7" t="str" cm="1">
        <f t="array" aca="1" ref="C7" ca="1">INDEX(Hoja6!L$6:L$98,ROUND(RAND()*92,0)+1)</f>
        <v>Planta</v>
      </c>
      <c r="D7" t="str" cm="1">
        <f t="array" aca="1" ref="D7" ca="1">INDEX(Tabla11[Dni],ROUND(RAND()*103,0)+1)</f>
        <v>45678901C</v>
      </c>
    </row>
    <row r="8" spans="2:4" x14ac:dyDescent="0.25">
      <c r="B8" t="str">
        <f ca="1">CONCATENATE("P","-",COUNTIF($D$5:D8,"*"))</f>
        <v>P-4</v>
      </c>
      <c r="C8" t="str" cm="1">
        <f t="array" aca="1" ref="C8" ca="1">INDEX(Hoja6!L$6:L$98,ROUND(RAND()*92,0)+1)</f>
        <v>Cargador</v>
      </c>
      <c r="D8" t="str" cm="1">
        <f t="array" aca="1" ref="D8" ca="1">INDEX(Tabla11[Dni],ROUND(RAND()*103,0)+1)</f>
        <v>90123456L</v>
      </c>
    </row>
    <row r="9" spans="2:4" x14ac:dyDescent="0.25">
      <c r="B9" t="str">
        <f ca="1">CONCATENATE("P","-",COUNTIF($D$5:D9,"*"))</f>
        <v>P-5</v>
      </c>
      <c r="C9" t="str" cm="1">
        <f t="array" aca="1" ref="C9" ca="1">INDEX(Hoja6!L$6:L$98,ROUND(RAND()*92,0)+1)</f>
        <v>Fiambrera</v>
      </c>
      <c r="D9" t="str" cm="1">
        <f t="array" aca="1" ref="D9" ca="1">INDEX(Tabla11[Dni],ROUND(RAND()*103,0)+1)</f>
        <v>12345678D</v>
      </c>
    </row>
    <row r="10" spans="2:4" x14ac:dyDescent="0.25">
      <c r="B10" t="str">
        <f ca="1">CONCATENATE("P","-",COUNTIF($D$5:D10,"*"))</f>
        <v>P-6</v>
      </c>
      <c r="C10" t="str" cm="1">
        <f t="array" aca="1" ref="C10" ca="1">INDEX(Hoja6!L$6:L$98,ROUND(RAND()*92,0)+1)</f>
        <v>Calcetines deportivos</v>
      </c>
      <c r="D10" t="str" cm="1">
        <f t="array" aca="1" ref="D10" ca="1">INDEX(Tabla11[Dni],ROUND(RAND()*103,0)+1)</f>
        <v>89012345H</v>
      </c>
    </row>
    <row r="11" spans="2:4" x14ac:dyDescent="0.25">
      <c r="B11" t="str">
        <f ca="1">CONCATENATE("P","-",COUNTIF($D$5:D11,"*"))</f>
        <v>P-7</v>
      </c>
      <c r="C11" t="str" cm="1">
        <f t="array" aca="1" ref="C11" ca="1">INDEX(Hoja6!L$6:L$98,ROUND(RAND()*92,0)+1)</f>
        <v>Papel higiénico</v>
      </c>
      <c r="D11" t="str" cm="1">
        <f t="array" aca="1" ref="D11" ca="1">INDEX(Tabla11[Dni],ROUND(RAND()*103,0)+1)</f>
        <v>23456789O</v>
      </c>
    </row>
    <row r="12" spans="2:4" x14ac:dyDescent="0.25">
      <c r="B12" t="str">
        <f ca="1">CONCATENATE("P","-",COUNTIF($D$5:D12,"*"))</f>
        <v>P-8</v>
      </c>
      <c r="C12" t="str" cm="1">
        <f t="array" aca="1" ref="C12" ca="1">INDEX(Hoja6!L$6:L$98,ROUND(RAND()*92,0)+1)</f>
        <v>Álbum de fotos</v>
      </c>
      <c r="D12" t="str" cm="1">
        <f t="array" aca="1" ref="D12" ca="1">INDEX(Tabla11[Dni],ROUND(RAND()*103,0)+1)</f>
        <v>23456789A</v>
      </c>
    </row>
    <row r="13" spans="2:4" x14ac:dyDescent="0.25">
      <c r="B13" t="str">
        <f ca="1">CONCATENATE("P","-",COUNTIF($D$5:D13,"*"))</f>
        <v>P-9</v>
      </c>
      <c r="C13" t="str" cm="1">
        <f t="array" aca="1" ref="C13" ca="1">INDEX(Hoja6!L$6:L$98,ROUND(RAND()*92,0)+1)</f>
        <v>Altavoz</v>
      </c>
      <c r="D13" t="str" cm="1">
        <f t="array" aca="1" ref="D13" ca="1">INDEX(Tabla11[Dni],ROUND(RAND()*103,0)+1)</f>
        <v>34567890C</v>
      </c>
    </row>
    <row r="14" spans="2:4" x14ac:dyDescent="0.25">
      <c r="B14" t="str">
        <f ca="1">CONCATENATE("P","-",COUNTIF($D$5:D14,"*"))</f>
        <v>P-10</v>
      </c>
      <c r="C14" t="str" cm="1">
        <f t="array" aca="1" ref="C14" ca="1">INDEX(Hoja6!L$6:L$98,ROUND(RAND()*92,0)+1)</f>
        <v>Cuaderno</v>
      </c>
      <c r="D14" t="str" cm="1">
        <f t="array" aca="1" ref="D14" ca="1">INDEX(Tabla11[Dni],ROUND(RAND()*103,0)+1)</f>
        <v>01234567M</v>
      </c>
    </row>
    <row r="15" spans="2:4" x14ac:dyDescent="0.25">
      <c r="B15" t="str">
        <f ca="1">CONCATENATE("P","-",COUNTIF($D$5:D15,"*"))</f>
        <v>P-11</v>
      </c>
      <c r="C15" t="str" cm="1">
        <f t="array" aca="1" ref="C15" ca="1">INDEX(Hoja6!L$6:L$98,ROUND(RAND()*92,0)+1)</f>
        <v>Planta de interior</v>
      </c>
      <c r="D15" t="str" cm="1">
        <f t="array" aca="1" ref="D15" ca="1">INDEX(Tabla11[Dni],ROUND(RAND()*103,0)+1)</f>
        <v>23456789Y</v>
      </c>
    </row>
    <row r="16" spans="2:4" x14ac:dyDescent="0.25">
      <c r="B16" t="str">
        <f ca="1">CONCATENATE("P","-",COUNTIF($D$5:D16,"*"))</f>
        <v>P-12</v>
      </c>
      <c r="C16" t="str" cm="1">
        <f t="array" aca="1" ref="C16" ca="1">INDEX(Hoja6!L$6:L$98,ROUND(RAND()*92,0)+1)</f>
        <v>Monitor</v>
      </c>
      <c r="D16" t="str" cm="1">
        <f t="array" aca="1" ref="D16" ca="1">INDEX(Tabla11[Dni],ROUND(RAND()*103,0)+1)</f>
        <v>34567890B</v>
      </c>
    </row>
    <row r="17" spans="2:4" x14ac:dyDescent="0.25">
      <c r="B17" t="str">
        <f ca="1">CONCATENATE("P","-",COUNTIF($D$5:D17,"*"))</f>
        <v>P-13</v>
      </c>
      <c r="C17" t="str" cm="1">
        <f t="array" aca="1" ref="C17" ca="1">INDEX(Hoja6!L$6:L$98,ROUND(RAND()*92,0)+1)</f>
        <v>Botella de agua</v>
      </c>
      <c r="D17" t="str" cm="1">
        <f t="array" aca="1" ref="D17" ca="1">INDEX(Tabla11[Dni],ROUND(RAND()*103,0)+1)</f>
        <v>34567890J</v>
      </c>
    </row>
    <row r="18" spans="2:4" x14ac:dyDescent="0.25">
      <c r="B18" t="str">
        <f ca="1">CONCATENATE("P","-",COUNTIF($D$5:D18,"*"))</f>
        <v>P-14</v>
      </c>
      <c r="C18" t="str" cm="1">
        <f t="array" aca="1" ref="C18" ca="1">INDEX(Hoja6!L$6:L$98,ROUND(RAND()*92,0)+1)</f>
        <v>Escultura</v>
      </c>
      <c r="D18" t="str" cm="1">
        <f t="array" aca="1" ref="D18" ca="1">INDEX(Tabla11[Dni],ROUND(RAND()*103,0)+1)</f>
        <v>89012345Q</v>
      </c>
    </row>
    <row r="19" spans="2:4" x14ac:dyDescent="0.25">
      <c r="B19" t="str">
        <f ca="1">CONCATENATE("P","-",COUNTIF($D$5:D19,"*"))</f>
        <v>P-15</v>
      </c>
      <c r="C19" t="str" cm="1">
        <f t="array" aca="1" ref="C19" ca="1">INDEX(Hoja6!L$6:L$98,ROUND(RAND()*92,0)+1)</f>
        <v>Toalla de playa</v>
      </c>
      <c r="D19" t="str" cm="1">
        <f t="array" aca="1" ref="D19" ca="1">INDEX(Tabla11[Dni],ROUND(RAND()*103,0)+1)</f>
        <v>34567890B</v>
      </c>
    </row>
    <row r="20" spans="2:4" x14ac:dyDescent="0.25">
      <c r="B20" t="str">
        <f ca="1">CONCATENATE("P","-",COUNTIF($D$5:D20,"*"))</f>
        <v>P-16</v>
      </c>
      <c r="C20" t="str" cm="1">
        <f t="array" aca="1" ref="C20" ca="1">INDEX(Hoja6!L$6:L$98,ROUND(RAND()*92,0)+1)</f>
        <v>Batidora</v>
      </c>
      <c r="D20" t="str" cm="1">
        <f t="array" aca="1" ref="D20" ca="1">INDEX(Tabla11[Dni],ROUND(RAND()*103,0)+1)</f>
        <v>89012345U</v>
      </c>
    </row>
    <row r="21" spans="2:4" x14ac:dyDescent="0.25">
      <c r="B21" t="str">
        <f ca="1">CONCATENATE("P","-",COUNTIF($D$5:D21,"*"))</f>
        <v>P-17</v>
      </c>
      <c r="C21" t="str" cm="1">
        <f t="array" aca="1" ref="C21" ca="1">INDEX(Hoja6!L$6:L$98,ROUND(RAND()*92,0)+1)</f>
        <v>Auriculares</v>
      </c>
      <c r="D21" t="str" cm="1">
        <f t="array" aca="1" ref="D21" ca="1">INDEX(Tabla11[Dni],ROUND(RAND()*103,0)+1)</f>
        <v>78901234X</v>
      </c>
    </row>
    <row r="22" spans="2:4" x14ac:dyDescent="0.25">
      <c r="B22" t="str">
        <f ca="1">CONCATENATE("P","-",COUNTIF($D$5:D22,"*"))</f>
        <v>P-18</v>
      </c>
      <c r="C22" t="str" cm="1">
        <f t="array" aca="1" ref="C22" ca="1">INDEX(Hoja6!L$6:L$98,ROUND(RAND()*92,0)+1)</f>
        <v>Botella de agua</v>
      </c>
      <c r="D22" t="str" cm="1">
        <f t="array" aca="1" ref="D22" ca="1">INDEX(Tabla11[Dni],ROUND(RAND()*103,0)+1)</f>
        <v>12345678J</v>
      </c>
    </row>
    <row r="23" spans="2:4" x14ac:dyDescent="0.25">
      <c r="B23" t="str">
        <f ca="1">CONCATENATE("P","-",COUNTIF($D$5:D23,"*"))</f>
        <v>P-19</v>
      </c>
      <c r="C23" t="str" cm="1">
        <f t="array" aca="1" ref="C23" ca="1">INDEX(Hoja6!L$6:L$98,ROUND(RAND()*92,0)+1)</f>
        <v>Guitarra eléctrica</v>
      </c>
      <c r="D23" t="str" cm="1">
        <f t="array" aca="1" ref="D23" ca="1">INDEX(Tabla11[Dni],ROUND(RAND()*103,0)+1)</f>
        <v>23456789S</v>
      </c>
    </row>
    <row r="24" spans="2:4" x14ac:dyDescent="0.25">
      <c r="B24" t="str">
        <f ca="1">CONCATENATE("P","-",COUNTIF($D$5:D24,"*"))</f>
        <v>P-20</v>
      </c>
      <c r="C24" t="str" cm="1">
        <f t="array" aca="1" ref="C24" ca="1">INDEX(Hoja6!L$6:L$98,ROUND(RAND()*92,0)+1)</f>
        <v>Pintalabios</v>
      </c>
      <c r="D24" t="str" cm="1">
        <f t="array" aca="1" ref="D24" ca="1">INDEX(Tabla11[Dni],ROUND(RAND()*103,0)+1)</f>
        <v>34567890V</v>
      </c>
    </row>
    <row r="25" spans="2:4" x14ac:dyDescent="0.25">
      <c r="B25" t="str">
        <f ca="1">CONCATENATE("P","-",COUNTIF($D$5:D25,"*"))</f>
        <v>P-21</v>
      </c>
      <c r="C25" t="str" cm="1">
        <f t="array" aca="1" ref="C25" ca="1">INDEX(Hoja6!L$6:L$98,ROUND(RAND()*92,0)+1)</f>
        <v>Martillo</v>
      </c>
      <c r="D25" t="str" cm="1">
        <f t="array" aca="1" ref="D25" ca="1">INDEX(Tabla11[Dni],ROUND(RAND()*103,0)+1)</f>
        <v>01234567W</v>
      </c>
    </row>
    <row r="26" spans="2:4" x14ac:dyDescent="0.25">
      <c r="B26" t="str">
        <f ca="1">CONCATENATE("P","-",COUNTIF($D$5:D26,"*"))</f>
        <v>P-22</v>
      </c>
      <c r="C26" t="str" cm="1">
        <f t="array" aca="1" ref="C26" ca="1">INDEX(Hoja6!L$6:L$98,ROUND(RAND()*92,0)+1)</f>
        <v>Patines en línea</v>
      </c>
      <c r="D26" t="str" cm="1">
        <f t="array" aca="1" ref="D26" ca="1">INDEX(Tabla11[Dni],ROUND(RAND()*103,0)+1)</f>
        <v>56789012B</v>
      </c>
    </row>
    <row r="27" spans="2:4" x14ac:dyDescent="0.25">
      <c r="B27" t="str">
        <f ca="1">CONCATENATE("P","-",COUNTIF($D$5:D27,"*"))</f>
        <v>P-23</v>
      </c>
      <c r="C27" t="str" cm="1">
        <f t="array" aca="1" ref="C27" ca="1">INDEX(Hoja6!L$6:L$98,ROUND(RAND()*92,0)+1)</f>
        <v>Cepillo de dientes</v>
      </c>
      <c r="D27" t="str" cm="1">
        <f t="array" aca="1" ref="D27" ca="1">INDEX(Tabla11[Dni],ROUND(RAND()*103,0)+1)</f>
        <v>89012345E</v>
      </c>
    </row>
    <row r="28" spans="2:4" x14ac:dyDescent="0.25">
      <c r="B28" t="str">
        <f ca="1">CONCATENATE("P","-",COUNTIF($D$5:D28,"*"))</f>
        <v>P-24</v>
      </c>
      <c r="C28" t="str" cm="1">
        <f t="array" aca="1" ref="C28" ca="1">INDEX(Hoja6!L$6:L$98,ROUND(RAND()*92,0)+1)</f>
        <v>Vino</v>
      </c>
      <c r="D28" t="str" cm="1">
        <f t="array" aca="1" ref="D28" ca="1">INDEX(Tabla11[Dni],ROUND(RAND()*103,0)+1)</f>
        <v>23456789A</v>
      </c>
    </row>
    <row r="29" spans="2:4" x14ac:dyDescent="0.25">
      <c r="B29" t="str">
        <f ca="1">CONCATENATE("P","-",COUNTIF($D$5:D29,"*"))</f>
        <v>P-25</v>
      </c>
      <c r="C29" t="str" cm="1">
        <f t="array" aca="1" ref="C29" ca="1">INDEX(Hoja6!L$6:L$98,ROUND(RAND()*92,0)+1)</f>
        <v>Caja de bombones</v>
      </c>
      <c r="D29" t="str" cm="1">
        <f t="array" aca="1" ref="D29" ca="1">INDEX(Tabla11[Dni],ROUND(RAND()*103,0)+1)</f>
        <v>56789012D</v>
      </c>
    </row>
    <row r="30" spans="2:4" x14ac:dyDescent="0.25">
      <c r="B30" t="str">
        <f ca="1">CONCATENATE("P","-",COUNTIF($D$5:D30,"*"))</f>
        <v>P-26</v>
      </c>
      <c r="C30" t="str" cm="1">
        <f t="array" aca="1" ref="C30" ca="1">INDEX(Hoja6!L$6:L$98,ROUND(RAND()*92,0)+1)</f>
        <v>Saco de dormir</v>
      </c>
      <c r="D30" t="str" cm="1">
        <f t="array" aca="1" ref="D30" ca="1">INDEX(Tabla11[Dni],ROUND(RAND()*103,0)+1)</f>
        <v>23456789K</v>
      </c>
    </row>
    <row r="31" spans="2:4" x14ac:dyDescent="0.25">
      <c r="B31" t="str">
        <f ca="1">CONCATENATE("P","-",COUNTIF($D$5:D31,"*"))</f>
        <v>P-27</v>
      </c>
      <c r="C31" t="str" cm="1">
        <f t="array" aca="1" ref="C31" ca="1">INDEX(Hoja6!L$6:L$98,ROUND(RAND()*92,0)+1)</f>
        <v>Altavoz</v>
      </c>
      <c r="D31" t="str" cm="1">
        <f t="array" aca="1" ref="D31" ca="1">INDEX(Tabla11[Dni],ROUND(RAND()*103,0)+1)</f>
        <v>34567890C</v>
      </c>
    </row>
    <row r="32" spans="2:4" x14ac:dyDescent="0.25">
      <c r="B32" t="str">
        <f ca="1">CONCATENATE("P","-",COUNTIF($D$5:D32,"*"))</f>
        <v>P-28</v>
      </c>
      <c r="C32" t="str" cm="1">
        <f t="array" aca="1" ref="C32" ca="1">INDEX(Hoja6!L$6:L$98,ROUND(RAND()*92,0)+1)</f>
        <v>Cuadro</v>
      </c>
      <c r="D32" t="str" cm="1">
        <f t="array" aca="1" ref="D32" ca="1">INDEX(Tabla11[Dni],ROUND(RAND()*103,0)+1)</f>
        <v>78901234N</v>
      </c>
    </row>
    <row r="33" spans="2:4" x14ac:dyDescent="0.25">
      <c r="B33" t="str">
        <f ca="1">CONCATENATE("P","-",COUNTIF($D$5:D33,"*"))</f>
        <v>P-29</v>
      </c>
      <c r="C33" t="str" cm="1">
        <f t="array" aca="1" ref="C33" ca="1">INDEX(Hoja6!L$6:L$98,ROUND(RAND()*92,0)+1)</f>
        <v>Bolígrafo</v>
      </c>
      <c r="D33" t="str" cm="1">
        <f t="array" aca="1" ref="D33" ca="1">INDEX(Tabla11[Dni],ROUND(RAND()*103,0)+1)</f>
        <v>01234567S</v>
      </c>
    </row>
    <row r="34" spans="2:4" x14ac:dyDescent="0.25">
      <c r="B34" t="str">
        <f ca="1">CONCATENATE("P","-",COUNTIF($D$5:D34,"*"))</f>
        <v>P-30</v>
      </c>
      <c r="C34" t="str" cm="1">
        <f t="array" aca="1" ref="C34" ca="1">INDEX(Hoja6!L$6:L$98,ROUND(RAND()*92,0)+1)</f>
        <v>Bolsa de hielo</v>
      </c>
      <c r="D34" t="str" cm="1">
        <f t="array" aca="1" ref="D34" ca="1">INDEX(Tabla11[Dni],ROUND(RAND()*103,0)+1)</f>
        <v>56789012R</v>
      </c>
    </row>
    <row r="35" spans="2:4" x14ac:dyDescent="0.25">
      <c r="B35" t="str">
        <f ca="1">CONCATENATE("P","-",COUNTIF($D$5:D35,"*"))</f>
        <v>P-31</v>
      </c>
      <c r="C35" t="str" cm="1">
        <f t="array" aca="1" ref="C35" ca="1">INDEX(Hoja6!L$6:L$98,ROUND(RAND()*92,0)+1)</f>
        <v>Horno</v>
      </c>
      <c r="D35" t="str" cm="1">
        <f t="array" aca="1" ref="D35" ca="1">INDEX(Tabla11[Dni],ROUND(RAND()*103,0)+1)</f>
        <v>34567890C</v>
      </c>
    </row>
    <row r="36" spans="2:4" x14ac:dyDescent="0.25">
      <c r="B36" t="str">
        <f ca="1">CONCATENATE("P","-",COUNTIF($D$5:D36,"*"))</f>
        <v>P-32</v>
      </c>
      <c r="C36" t="str" cm="1">
        <f t="array" aca="1" ref="C36" ca="1">INDEX(Hoja6!L$6:L$98,ROUND(RAND()*92,0)+1)</f>
        <v>Reloj de pared</v>
      </c>
      <c r="D36" t="str" cm="1">
        <f t="array" aca="1" ref="D36" ca="1">INDEX(Tabla11[Dni],ROUND(RAND()*103,0)+1)</f>
        <v>12345678X</v>
      </c>
    </row>
    <row r="37" spans="2:4" x14ac:dyDescent="0.25">
      <c r="B37" t="str">
        <f ca="1">CONCATENATE("P","-",COUNTIF($D$5:D37,"*"))</f>
        <v>P-33</v>
      </c>
      <c r="C37" t="str" cm="1">
        <f t="array" aca="1" ref="C37" ca="1">INDEX(Hoja6!L$6:L$98,ROUND(RAND()*92,0)+1)</f>
        <v>Botella de agua</v>
      </c>
      <c r="D37" t="str" cm="1">
        <f t="array" aca="1" ref="D37" ca="1">INDEX(Tabla11[Dni],ROUND(RAND()*103,0)+1)</f>
        <v>45678901Q</v>
      </c>
    </row>
    <row r="38" spans="2:4" x14ac:dyDescent="0.25">
      <c r="B38" t="str">
        <f ca="1">CONCATENATE("P","-",COUNTIF($D$5:D38,"*"))</f>
        <v>P-34</v>
      </c>
      <c r="C38" t="str" cm="1">
        <f t="array" aca="1" ref="C38" ca="1">INDEX(Hoja6!L$6:L$98,ROUND(RAND()*92,0)+1)</f>
        <v>Toalla de playa</v>
      </c>
      <c r="D38" t="str" cm="1">
        <f t="array" aca="1" ref="D38" ca="1">INDEX(Tabla11[Dni],ROUND(RAND()*103,0)+1)</f>
        <v>01234567C</v>
      </c>
    </row>
    <row r="39" spans="2:4" x14ac:dyDescent="0.25">
      <c r="B39" t="str">
        <f ca="1">CONCATENATE("P","-",COUNTIF($D$5:D39,"*"))</f>
        <v>P-35</v>
      </c>
      <c r="C39" t="str" cm="1">
        <f t="array" aca="1" ref="C39" ca="1">INDEX(Hoja6!L$6:L$98,ROUND(RAND()*92,0)+1)</f>
        <v>Paraguas</v>
      </c>
      <c r="D39" t="str" cm="1">
        <f t="array" aca="1" ref="D39" ca="1">INDEX(Tabla11[Dni],ROUND(RAND()*103,0)+1)</f>
        <v>45678901Q</v>
      </c>
    </row>
    <row r="40" spans="2:4" x14ac:dyDescent="0.25">
      <c r="B40" t="str">
        <f ca="1">CONCATENATE("P","-",COUNTIF($D$5:D40,"*"))</f>
        <v>P-36</v>
      </c>
      <c r="C40" t="str" cm="1">
        <f t="array" aca="1" ref="C40" ca="1">INDEX(Hoja6!L$6:L$98,ROUND(RAND()*92,0)+1)</f>
        <v>Teléfono móvil</v>
      </c>
      <c r="D40" t="str" cm="1">
        <f t="array" aca="1" ref="D40" ca="1">INDEX(Tabla11[Dni],ROUND(RAND()*103,0)+1)</f>
        <v>34567890F</v>
      </c>
    </row>
    <row r="41" spans="2:4" x14ac:dyDescent="0.25">
      <c r="B41" t="str">
        <f ca="1">CONCATENATE("P","-",COUNTIF($D$5:D41,"*"))</f>
        <v>P-37</v>
      </c>
      <c r="C41" t="str" cm="1">
        <f t="array" aca="1" ref="C41" ca="1">INDEX(Hoja6!L$6:L$98,ROUND(RAND()*92,0)+1)</f>
        <v>Telescopio</v>
      </c>
      <c r="D41" t="str" cm="1">
        <f t="array" aca="1" ref="D41" ca="1">INDEX(Tabla11[Dni],ROUND(RAND()*103,0)+1)</f>
        <v>12345678R</v>
      </c>
    </row>
    <row r="42" spans="2:4" x14ac:dyDescent="0.25">
      <c r="B42" t="str">
        <f ca="1">CONCATENATE("P","-",COUNTIF($D$5:D42,"*"))</f>
        <v>P-38</v>
      </c>
      <c r="C42" t="str" cm="1">
        <f t="array" aca="1" ref="C42" ca="1">INDEX(Hoja6!L$6:L$98,ROUND(RAND()*92,0)+1)</f>
        <v>Martillo</v>
      </c>
      <c r="D42" t="str" cm="1">
        <f t="array" aca="1" ref="D42" ca="1">INDEX(Tabla11[Dni],ROUND(RAND()*103,0)+1)</f>
        <v>78901234G</v>
      </c>
    </row>
    <row r="43" spans="2:4" x14ac:dyDescent="0.25">
      <c r="B43" t="str">
        <f ca="1">CONCATENATE("P","-",COUNTIF($D$5:D43,"*"))</f>
        <v>P-39</v>
      </c>
      <c r="C43" t="str" cm="1">
        <f t="array" aca="1" ref="C43" ca="1">INDEX(Hoja6!L$6:L$98,ROUND(RAND()*92,0)+1)</f>
        <v>Cargador</v>
      </c>
      <c r="D43" t="str" cm="1">
        <f t="array" aca="1" ref="D43" ca="1">INDEX(Tabla11[Dni],ROUND(RAND()*103,0)+1)</f>
        <v>01234567Q</v>
      </c>
    </row>
    <row r="44" spans="2:4" x14ac:dyDescent="0.25">
      <c r="B44" t="str">
        <f ca="1">CONCATENATE("P","-",COUNTIF($D$5:D44,"*"))</f>
        <v>P-40</v>
      </c>
      <c r="C44" t="str" cm="1">
        <f t="array" aca="1" ref="C44" ca="1">INDEX(Hoja6!L$6:L$98,ROUND(RAND()*92,0)+1)</f>
        <v>Reloj de pared</v>
      </c>
      <c r="D44" t="str" cm="1">
        <f t="array" aca="1" ref="D44" ca="1">INDEX(Tabla11[Dni],ROUND(RAND()*103,0)+1)</f>
        <v>45678901U</v>
      </c>
    </row>
    <row r="45" spans="2:4" x14ac:dyDescent="0.25">
      <c r="B45" t="str">
        <f ca="1">CONCATENATE("P","-",COUNTIF($D$5:D45,"*"))</f>
        <v>P-41</v>
      </c>
      <c r="C45" t="str" cm="1">
        <f t="array" aca="1" ref="C45" ca="1">INDEX(Hoja6!L$6:L$98,ROUND(RAND()*92,0)+1)</f>
        <v>Reloj de pared</v>
      </c>
      <c r="D45" t="str" cm="1">
        <f t="array" aca="1" ref="D45" ca="1">INDEX(Tabla11[Dni],ROUND(RAND()*103,0)+1)</f>
        <v>12345678U</v>
      </c>
    </row>
    <row r="46" spans="2:4" x14ac:dyDescent="0.25">
      <c r="B46" t="str">
        <f ca="1">CONCATENATE("P","-",COUNTIF($D$5:D46,"*"))</f>
        <v>P-42</v>
      </c>
      <c r="C46" t="str" cm="1">
        <f t="array" aca="1" ref="C46" ca="1">INDEX(Hoja6!L$6:L$98,ROUND(RAND()*92,0)+1)</f>
        <v>Lámpara</v>
      </c>
      <c r="D46" t="str" cm="1">
        <f t="array" aca="1" ref="D46" ca="1">INDEX(Tabla11[Dni],ROUND(RAND()*103,0)+1)</f>
        <v>56789012R</v>
      </c>
    </row>
    <row r="47" spans="2:4" x14ac:dyDescent="0.25">
      <c r="B47" t="str">
        <f ca="1">CONCATENATE("P","-",COUNTIF($D$5:D47,"*"))</f>
        <v>P-43</v>
      </c>
      <c r="C47" t="str" cm="1">
        <f t="array" aca="1" ref="C47" ca="1">INDEX(Hoja6!L$6:L$98,ROUND(RAND()*92,0)+1)</f>
        <v>Crema hidratante</v>
      </c>
      <c r="D47" t="str" cm="1">
        <f t="array" aca="1" ref="D47" ca="1">INDEX(Tabla11[Dni],ROUND(RAND()*103,0)+1)</f>
        <v>67890123O</v>
      </c>
    </row>
    <row r="48" spans="2:4" x14ac:dyDescent="0.25">
      <c r="B48" t="str">
        <f ca="1">CONCATENATE("P","-",COUNTIF($D$5:D48,"*"))</f>
        <v>P-44</v>
      </c>
      <c r="C48" t="str" cm="1">
        <f t="array" aca="1" ref="C48" ca="1">INDEX(Hoja6!L$6:L$98,ROUND(RAND()*92,0)+1)</f>
        <v>Pendientes</v>
      </c>
      <c r="D48" t="str" cm="1">
        <f t="array" aca="1" ref="D48" ca="1">INDEX(Tabla11[Dni],ROUND(RAND()*103,0)+1)</f>
        <v>78901234F</v>
      </c>
    </row>
    <row r="49" spans="2:4" x14ac:dyDescent="0.25">
      <c r="B49" t="str">
        <f ca="1">CONCATENATE("P","-",COUNTIF($D$5:D49,"*"))</f>
        <v>P-45</v>
      </c>
      <c r="C49" t="str" cm="1">
        <f t="array" aca="1" ref="C49" ca="1">INDEX(Hoja6!L$6:L$98,ROUND(RAND()*92,0)+1)</f>
        <v>Pantalones</v>
      </c>
      <c r="D49" t="str" cm="1">
        <f t="array" aca="1" ref="D49" ca="1">INDEX(Tabla11[Dni],ROUND(RAND()*103,0)+1)</f>
        <v>45678901C</v>
      </c>
    </row>
    <row r="50" spans="2:4" x14ac:dyDescent="0.25">
      <c r="B50" t="str">
        <f ca="1">CONCATENATE("P","-",COUNTIF($D$5:D50,"*"))</f>
        <v>P-46</v>
      </c>
      <c r="C50" t="str" cm="1">
        <f t="array" aca="1" ref="C50" ca="1">INDEX(Hoja6!L$6:L$98,ROUND(RAND()*92,0)+1)</f>
        <v>Toalla de playa</v>
      </c>
      <c r="D50" t="str" cm="1">
        <f t="array" aca="1" ref="D50" ca="1">INDEX(Tabla11[Dni],ROUND(RAND()*103,0)+1)</f>
        <v>34567890W</v>
      </c>
    </row>
    <row r="51" spans="2:4" x14ac:dyDescent="0.25">
      <c r="B51" t="str">
        <f ca="1">CONCATENATE("P","-",COUNTIF($D$5:D51,"*"))</f>
        <v>P-47</v>
      </c>
      <c r="C51" t="str" cm="1">
        <f t="array" aca="1" ref="C51" ca="1">INDEX(Hoja6!L$6:L$98,ROUND(RAND()*92,0)+1)</f>
        <v>Patineta</v>
      </c>
      <c r="D51" t="str" cm="1">
        <f t="array" aca="1" ref="D51" ca="1">INDEX(Tabla11[Dni],ROUND(RAND()*103,0)+1)</f>
        <v>45678901A</v>
      </c>
    </row>
    <row r="52" spans="2:4" x14ac:dyDescent="0.25">
      <c r="B52" t="str">
        <f ca="1">CONCATENATE("P","-",COUNTIF($D$5:D52,"*"))</f>
        <v>P-48</v>
      </c>
      <c r="C52" t="str" cm="1">
        <f t="array" aca="1" ref="C52" ca="1">INDEX(Hoja6!L$6:L$98,ROUND(RAND()*92,0)+1)</f>
        <v>Gorro</v>
      </c>
      <c r="D52" t="str" cm="1">
        <f t="array" aca="1" ref="D52" ca="1">INDEX(Tabla11[Dni],ROUND(RAND()*103,0)+1)</f>
        <v>56789012B</v>
      </c>
    </row>
    <row r="53" spans="2:4" x14ac:dyDescent="0.25">
      <c r="B53" t="str">
        <f ca="1">CONCATENATE("P","-",COUNTIF($D$5:D53,"*"))</f>
        <v>P-49</v>
      </c>
      <c r="C53" t="str" cm="1">
        <f t="array" aca="1" ref="C53" ca="1">INDEX(Hoja6!L$6:L$98,ROUND(RAND()*92,0)+1)</f>
        <v>Taburete</v>
      </c>
      <c r="D53" t="str" cm="1">
        <f t="array" aca="1" ref="D53" ca="1">INDEX(Tabla11[Dni],ROUND(RAND()*103,0)+1)</f>
        <v>67890123P</v>
      </c>
    </row>
    <row r="54" spans="2:4" x14ac:dyDescent="0.25">
      <c r="B54" t="str">
        <f ca="1">CONCATENATE("P","-",COUNTIF($D$5:D54,"*"))</f>
        <v>P-50</v>
      </c>
      <c r="C54" t="str" cm="1">
        <f t="array" aca="1" ref="C54" ca="1">INDEX(Hoja6!L$6:L$98,ROUND(RAND()*92,0)+1)</f>
        <v>Sombrero de copa</v>
      </c>
      <c r="D54" t="str" cm="1">
        <f t="array" aca="1" ref="D54" ca="1">INDEX(Tabla11[Dni],ROUND(RAND()*103,0)+1)</f>
        <v>01234567I</v>
      </c>
    </row>
    <row r="55" spans="2:4" x14ac:dyDescent="0.25">
      <c r="B55" t="str">
        <f ca="1">CONCATENATE("P","-",COUNTIF($D$5:D55,"*"))</f>
        <v>P-51</v>
      </c>
      <c r="C55" t="str" cm="1">
        <f t="array" aca="1" ref="C55" ca="1">INDEX(Hoja6!L$6:L$98,ROUND(RAND()*92,0)+1)</f>
        <v>Calcetines deportivos</v>
      </c>
      <c r="D55" t="str" cm="1">
        <f t="array" aca="1" ref="D55" ca="1">INDEX(Tabla11[Dni],ROUND(RAND()*103,0)+1)</f>
        <v>90123456H</v>
      </c>
    </row>
    <row r="56" spans="2:4" x14ac:dyDescent="0.25">
      <c r="B56" t="str">
        <f ca="1">CONCATENATE("P","-",COUNTIF($D$5:D56,"*"))</f>
        <v>P-52</v>
      </c>
      <c r="C56" t="str" cm="1">
        <f t="array" aca="1" ref="C56" ca="1">INDEX(Hoja6!L$6:L$98,ROUND(RAND()*92,0)+1)</f>
        <v>Planta de interior</v>
      </c>
      <c r="D56" t="str" cm="1">
        <f t="array" aca="1" ref="D56" ca="1">INDEX(Tabla11[Dni],ROUND(RAND()*103,0)+1)</f>
        <v>67890123P</v>
      </c>
    </row>
    <row r="57" spans="2:4" x14ac:dyDescent="0.25">
      <c r="B57" t="str">
        <f ca="1">CONCATENATE("P","-",COUNTIF($D$5:D57,"*"))</f>
        <v>P-53</v>
      </c>
      <c r="C57" t="str" cm="1">
        <f t="array" aca="1" ref="C57" ca="1">INDEX(Hoja6!L$6:L$98,ROUND(RAND()*92,0)+1)</f>
        <v>Película</v>
      </c>
      <c r="D57" t="str" cm="1">
        <f t="array" aca="1" ref="D57" ca="1">INDEX(Tabla11[Dni],ROUND(RAND()*103,0)+1)</f>
        <v>67890123O</v>
      </c>
    </row>
    <row r="58" spans="2:4" x14ac:dyDescent="0.25">
      <c r="B58" t="str">
        <f ca="1">CONCATENATE("P","-",COUNTIF($D$5:D58,"*"))</f>
        <v>P-54</v>
      </c>
      <c r="C58" t="str" cm="1">
        <f t="array" aca="1" ref="C58" ca="1">INDEX(Hoja6!L$6:L$98,ROUND(RAND()*92,0)+1)</f>
        <v>Sombrero de copa</v>
      </c>
      <c r="D58" t="str" cm="1">
        <f t="array" aca="1" ref="D58" ca="1">INDEX(Tabla11[Dni],ROUND(RAND()*103,0)+1)</f>
        <v>01234567T</v>
      </c>
    </row>
    <row r="59" spans="2:4" x14ac:dyDescent="0.25">
      <c r="B59" t="str">
        <f ca="1">CONCATENATE("P","-",COUNTIF($D$5:D59,"*"))</f>
        <v>P-55</v>
      </c>
      <c r="C59" t="str" cm="1">
        <f t="array" aca="1" ref="C59" ca="1">INDEX(Hoja6!L$6:L$98,ROUND(RAND()*92,0)+1)</f>
        <v>Linterna</v>
      </c>
      <c r="D59" t="str" cm="1">
        <f t="array" aca="1" ref="D59" ca="1">INDEX(Tabla11[Dni],ROUND(RAND()*103,0)+1)</f>
        <v>56789012R</v>
      </c>
    </row>
    <row r="60" spans="2:4" x14ac:dyDescent="0.25">
      <c r="B60" t="str">
        <f ca="1">CONCATENATE("P","-",COUNTIF($D$5:D60,"*"))</f>
        <v>P-56</v>
      </c>
      <c r="C60" t="str" cm="1">
        <f t="array" aca="1" ref="C60" ca="1">INDEX(Hoja6!L$6:L$98,ROUND(RAND()*92,0)+1)</f>
        <v>Teléfono móvil</v>
      </c>
      <c r="D60" t="str" cm="1">
        <f t="array" aca="1" ref="D60" ca="1">INDEX(Tabla11[Dni],ROUND(RAND()*103,0)+1)</f>
        <v>56789012L</v>
      </c>
    </row>
    <row r="61" spans="2:4" x14ac:dyDescent="0.25">
      <c r="B61" t="str">
        <f ca="1">CONCATENATE("P","-",COUNTIF($D$5:D61,"*"))</f>
        <v>P-57</v>
      </c>
      <c r="C61" t="str" cm="1">
        <f t="array" aca="1" ref="C61" ca="1">INDEX(Hoja6!L$6:L$98,ROUND(RAND()*92,0)+1)</f>
        <v>Caja fuerte</v>
      </c>
      <c r="D61" t="str" cm="1">
        <f t="array" aca="1" ref="D61" ca="1">INDEX(Tabla11[Dni],ROUND(RAND()*103,0)+1)</f>
        <v>78901234J</v>
      </c>
    </row>
    <row r="62" spans="2:4" x14ac:dyDescent="0.25">
      <c r="B62" t="str">
        <f ca="1">CONCATENATE("P","-",COUNTIF($D$5:D62,"*"))</f>
        <v>P-58</v>
      </c>
      <c r="C62" t="str" cm="1">
        <f t="array" aca="1" ref="C62" ca="1">INDEX(Hoja6!L$6:L$98,ROUND(RAND()*92,0)+1)</f>
        <v>Reloj de pulsera</v>
      </c>
      <c r="D62" t="str" cm="1">
        <f t="array" aca="1" ref="D62" ca="1">INDEX(Tabla11[Dni],ROUND(RAND()*103,0)+1)</f>
        <v>89012345Y</v>
      </c>
    </row>
    <row r="63" spans="2:4" x14ac:dyDescent="0.25">
      <c r="B63" t="str">
        <f ca="1">CONCATENATE("P","-",COUNTIF($D$5:D63,"*"))</f>
        <v>P-59</v>
      </c>
      <c r="C63" t="str" cm="1">
        <f t="array" aca="1" ref="C63" ca="1">INDEX(Hoja6!L$6:L$98,ROUND(RAND()*92,0)+1)</f>
        <v>Pantalones</v>
      </c>
      <c r="D63" t="str" cm="1">
        <f t="array" aca="1" ref="D63" ca="1">INDEX(Tabla11[Dni],ROUND(RAND()*103,0)+1)</f>
        <v>34567890T</v>
      </c>
    </row>
    <row r="64" spans="2:4" x14ac:dyDescent="0.25">
      <c r="B64" t="str">
        <f ca="1">CONCATENATE("P","-",COUNTIF($D$5:D64,"*"))</f>
        <v>P-60</v>
      </c>
      <c r="C64" t="str" cm="1">
        <f t="array" aca="1" ref="C64" ca="1">INDEX(Hoja6!L$6:L$98,ROUND(RAND()*92,0)+1)</f>
        <v>Paquete de galletas</v>
      </c>
      <c r="D64" t="str" cm="1">
        <f t="array" aca="1" ref="D64" ca="1">INDEX(Tabla11[Dni],ROUND(RAND()*103,0)+1)</f>
        <v>01234567W</v>
      </c>
    </row>
    <row r="65" spans="2:4" x14ac:dyDescent="0.25">
      <c r="B65" t="str">
        <f ca="1">CONCATENATE("P","-",COUNTIF($D$5:D65,"*"))</f>
        <v>P-61</v>
      </c>
      <c r="C65" t="str" cm="1">
        <f t="array" aca="1" ref="C65" ca="1">INDEX(Hoja6!L$6:L$98,ROUND(RAND()*92,0)+1)</f>
        <v>Cuchillo</v>
      </c>
      <c r="D65" t="str" cm="1">
        <f t="array" aca="1" ref="D65" ca="1">INDEX(Tabla11[Dni],ROUND(RAND()*103,0)+1)</f>
        <v>89012345Q</v>
      </c>
    </row>
    <row r="66" spans="2:4" x14ac:dyDescent="0.25">
      <c r="B66" t="str">
        <f ca="1">CONCATENATE("P","-",COUNTIF($D$5:D66,"*"))</f>
        <v>P-62</v>
      </c>
      <c r="C66" t="str" cm="1">
        <f t="array" aca="1" ref="C66" ca="1">INDEX(Hoja6!L$6:L$98,ROUND(RAND()*92,0)+1)</f>
        <v>Caja de música</v>
      </c>
      <c r="D66" t="str" cm="1">
        <f t="array" aca="1" ref="D66" ca="1">INDEX(Tabla11[Dni],ROUND(RAND()*103,0)+1)</f>
        <v>89012345H</v>
      </c>
    </row>
    <row r="67" spans="2:4" x14ac:dyDescent="0.25">
      <c r="B67" t="str">
        <f ca="1">CONCATENATE("P","-",COUNTIF($D$5:D67,"*"))</f>
        <v>P-63</v>
      </c>
      <c r="C67" t="str" cm="1">
        <f t="array" aca="1" ref="C67" ca="1">INDEX(Hoja6!L$6:L$98,ROUND(RAND()*92,0)+1)</f>
        <v>Bote de pintura</v>
      </c>
      <c r="D67" t="str" cm="1">
        <f t="array" aca="1" ref="D67" ca="1">INDEX(Tabla11[Dni],ROUND(RAND()*103,0)+1)</f>
        <v>23456789B</v>
      </c>
    </row>
    <row r="68" spans="2:4" x14ac:dyDescent="0.25">
      <c r="B68" t="str">
        <f ca="1">CONCATENATE("P","-",COUNTIF($D$5:D68,"*"))</f>
        <v>P-64</v>
      </c>
      <c r="C68" t="str" cm="1">
        <f t="array" aca="1" ref="C68" ca="1">INDEX(Hoja6!L$6:L$98,ROUND(RAND()*92,0)+1)</f>
        <v>Planta de interior</v>
      </c>
      <c r="D68" t="str" cm="1">
        <f t="array" aca="1" ref="D68" ca="1">INDEX(Tabla11[Dni],ROUND(RAND()*103,0)+1)</f>
        <v>89012345K</v>
      </c>
    </row>
    <row r="69" spans="2:4" x14ac:dyDescent="0.25">
      <c r="B69" t="str">
        <f ca="1">CONCATENATE("P","-",COUNTIF($D$5:D69,"*"))</f>
        <v>P-65</v>
      </c>
      <c r="C69" t="str" cm="1">
        <f t="array" aca="1" ref="C69" ca="1">INDEX(Hoja6!L$6:L$98,ROUND(RAND()*92,0)+1)</f>
        <v>Silla</v>
      </c>
      <c r="D69" t="str" cm="1">
        <f t="array" aca="1" ref="D69" ca="1">INDEX(Tabla11[Dni],ROUND(RAND()*103,0)+1)</f>
        <v>67890123E</v>
      </c>
    </row>
    <row r="70" spans="2:4" x14ac:dyDescent="0.25">
      <c r="B70" t="str">
        <f ca="1">CONCATENATE("P","-",COUNTIF($D$5:D70,"*"))</f>
        <v>P-66</v>
      </c>
      <c r="C70" t="str" cm="1">
        <f t="array" aca="1" ref="C70" ca="1">INDEX(Hoja6!L$6:L$98,ROUND(RAND()*92,0)+1)</f>
        <v>Cuadro</v>
      </c>
      <c r="D70" t="str" cm="1">
        <f t="array" aca="1" ref="D70" ca="1">INDEX(Tabla11[Dni],ROUND(RAND()*103,0)+1)</f>
        <v>34567890L</v>
      </c>
    </row>
    <row r="71" spans="2:4" x14ac:dyDescent="0.25">
      <c r="B71" t="str">
        <f ca="1">CONCATENATE("P","-",COUNTIF($D$5:D71,"*"))</f>
        <v>P-67</v>
      </c>
      <c r="C71" t="str" cm="1">
        <f t="array" aca="1" ref="C71" ca="1">INDEX(Hoja6!L$6:L$98,ROUND(RAND()*92,0)+1)</f>
        <v>Cuadro</v>
      </c>
      <c r="D71" t="str" cm="1">
        <f t="array" aca="1" ref="D71" ca="1">INDEX(Tabla11[Dni],ROUND(RAND()*103,0)+1)</f>
        <v>67890123I</v>
      </c>
    </row>
    <row r="72" spans="2:4" x14ac:dyDescent="0.25">
      <c r="B72" t="str">
        <f ca="1">CONCATENATE("P","-",COUNTIF($D$5:D72,"*"))</f>
        <v>P-68</v>
      </c>
      <c r="C72" t="str" cm="1">
        <f t="array" aca="1" ref="C72" ca="1">INDEX(Hoja6!L$6:L$98,ROUND(RAND()*92,0)+1)</f>
        <v>Plancha</v>
      </c>
      <c r="D72" t="str" cm="1">
        <f t="array" aca="1" ref="D72" ca="1">INDEX(Tabla11[Dni],ROUND(RAND()*103,0)+1)</f>
        <v>34567890W</v>
      </c>
    </row>
    <row r="73" spans="2:4" x14ac:dyDescent="0.25">
      <c r="B73" t="str">
        <f ca="1">CONCATENATE("P","-",COUNTIF($D$5:D73,"*"))</f>
        <v>P-69</v>
      </c>
      <c r="C73" t="str" cm="1">
        <f t="array" aca="1" ref="C73" ca="1">INDEX(Hoja6!L$6:L$98,ROUND(RAND()*92,0)+1)</f>
        <v>Bote de pintura</v>
      </c>
      <c r="D73" t="str" cm="1">
        <f t="array" aca="1" ref="D73" ca="1">INDEX(Tabla11[Dni],ROUND(RAND()*103,0)+1)</f>
        <v>34567890Z</v>
      </c>
    </row>
    <row r="74" spans="2:4" x14ac:dyDescent="0.25">
      <c r="B74" t="str">
        <f ca="1">CONCATENATE("P","-",COUNTIF($D$5:D74,"*"))</f>
        <v>P-70</v>
      </c>
      <c r="C74" t="str" cm="1">
        <f t="array" aca="1" ref="C74" ca="1">INDEX(Hoja6!L$6:L$98,ROUND(RAND()*92,0)+1)</f>
        <v>Patineta</v>
      </c>
      <c r="D74" t="str" cm="1">
        <f t="array" aca="1" ref="D74" ca="1">INDEX(Tabla11[Dni],ROUND(RAND()*103,0)+1)</f>
        <v>56789012H</v>
      </c>
    </row>
    <row r="75" spans="2:4" x14ac:dyDescent="0.25">
      <c r="B75" t="str">
        <f ca="1">CONCATENATE("P","-",COUNTIF($D$5:D75,"*"))</f>
        <v>P-71</v>
      </c>
      <c r="C75" t="str" cm="1">
        <f t="array" aca="1" ref="C75" ca="1">INDEX(Hoja6!L$6:L$98,ROUND(RAND()*92,0)+1)</f>
        <v>Cerveza</v>
      </c>
      <c r="D75" t="str" cm="1">
        <f t="array" aca="1" ref="D75" ca="1">INDEX(Tabla11[Dni],ROUND(RAND()*103,0)+1)</f>
        <v>78901234Z</v>
      </c>
    </row>
    <row r="76" spans="2:4" x14ac:dyDescent="0.25">
      <c r="B76" t="str">
        <f ca="1">CONCATENATE("P","-",COUNTIF($D$5:D76,"*"))</f>
        <v>P-72</v>
      </c>
      <c r="C76" t="str" cm="1">
        <f t="array" aca="1" ref="C76" ca="1">INDEX(Hoja6!L$6:L$98,ROUND(RAND()*92,0)+1)</f>
        <v>Lámpara</v>
      </c>
      <c r="D76" t="str" cm="1">
        <f t="array" aca="1" ref="D76" ca="1">INDEX(Tabla11[Dni],ROUND(RAND()*103,0)+1)</f>
        <v>78901234D</v>
      </c>
    </row>
    <row r="77" spans="2:4" x14ac:dyDescent="0.25">
      <c r="B77" t="str">
        <f ca="1">CONCATENATE("P","-",COUNTIF($D$5:D77,"*"))</f>
        <v>P-73</v>
      </c>
      <c r="C77" t="str" cm="1">
        <f t="array" aca="1" ref="C77" ca="1">INDEX(Hoja6!L$6:L$98,ROUND(RAND()*92,0)+1)</f>
        <v>Telescopio</v>
      </c>
      <c r="D77" t="str" cm="1">
        <f t="array" aca="1" ref="D77" ca="1">INDEX(Tabla11[Dni],ROUND(RAND()*103,0)+1)</f>
        <v>90123456L</v>
      </c>
    </row>
    <row r="78" spans="2:4" x14ac:dyDescent="0.25">
      <c r="B78" t="str">
        <f ca="1">CONCATENATE("P","-",COUNTIF($D$5:D78,"*"))</f>
        <v>P-74</v>
      </c>
      <c r="C78" t="str" cm="1">
        <f t="array" aca="1" ref="C78" ca="1">INDEX(Hoja6!L$6:L$98,ROUND(RAND()*92,0)+1)</f>
        <v>Pendientes</v>
      </c>
      <c r="D78" t="str" cm="1">
        <f t="array" aca="1" ref="D78" ca="1">INDEX(Tabla11[Dni],ROUND(RAND()*103,0)+1)</f>
        <v>45678901A</v>
      </c>
    </row>
    <row r="79" spans="2:4" x14ac:dyDescent="0.25">
      <c r="B79" t="str">
        <f ca="1">CONCATENATE("P","-",COUNTIF($D$5:D79,"*"))</f>
        <v>P-75</v>
      </c>
      <c r="C79" t="str" cm="1">
        <f t="array" aca="1" ref="C79" ca="1">INDEX(Hoja6!L$6:L$98,ROUND(RAND()*92,0)+1)</f>
        <v>Caja de música</v>
      </c>
      <c r="D79" t="str" cm="1">
        <f t="array" aca="1" ref="D79" ca="1">INDEX(Tabla11[Dni],ROUND(RAND()*103,0)+1)</f>
        <v>23456789I</v>
      </c>
    </row>
    <row r="80" spans="2:4" x14ac:dyDescent="0.25">
      <c r="B80" t="str">
        <f ca="1">CONCATENATE("P","-",COUNTIF($D$5:D80,"*"))</f>
        <v>P-76</v>
      </c>
      <c r="C80" t="str" cm="1">
        <f t="array" aca="1" ref="C80" ca="1">INDEX(Hoja6!L$6:L$98,ROUND(RAND()*92,0)+1)</f>
        <v>Libreta de notas</v>
      </c>
      <c r="D80" t="str" cm="1">
        <f t="array" aca="1" ref="D80" ca="1">INDEX(Tabla11[Dni],ROUND(RAND()*103,0)+1)</f>
        <v>23456789B</v>
      </c>
    </row>
    <row r="81" spans="2:4" x14ac:dyDescent="0.25">
      <c r="B81" t="str">
        <f ca="1">CONCATENATE("P","-",COUNTIF($D$5:D81,"*"))</f>
        <v>P-77</v>
      </c>
      <c r="C81" t="str" cm="1">
        <f t="array" aca="1" ref="C81" ca="1">INDEX(Hoja6!L$6:L$98,ROUND(RAND()*92,0)+1)</f>
        <v>Tarjeta de memoria</v>
      </c>
      <c r="D81" t="str" cm="1">
        <f t="array" aca="1" ref="D81" ca="1">INDEX(Tabla11[Dni],ROUND(RAND()*103,0)+1)</f>
        <v>67890123O</v>
      </c>
    </row>
    <row r="82" spans="2:4" x14ac:dyDescent="0.25">
      <c r="B82" t="str">
        <f ca="1">CONCATENATE("P","-",COUNTIF($D$5:D82,"*"))</f>
        <v>P-78</v>
      </c>
      <c r="C82" t="str" cm="1">
        <f t="array" aca="1" ref="C82" ca="1">INDEX(Hoja6!L$6:L$98,ROUND(RAND()*92,0)+1)</f>
        <v>Pintura</v>
      </c>
      <c r="D82" t="str" cm="1">
        <f t="array" aca="1" ref="D82" ca="1">INDEX(Tabla11[Dni],ROUND(RAND()*103,0)+1)</f>
        <v>34567890Z</v>
      </c>
    </row>
    <row r="83" spans="2:4" x14ac:dyDescent="0.25">
      <c r="B83" t="str">
        <f ca="1">CONCATENATE("P","-",COUNTIF($D$5:D83,"*"))</f>
        <v>P-79</v>
      </c>
      <c r="C83" t="str" cm="1">
        <f t="array" aca="1" ref="C83" ca="1">INDEX(Hoja6!L$6:L$98,ROUND(RAND()*92,0)+1)</f>
        <v>Batidora</v>
      </c>
      <c r="D83" t="str" cm="1">
        <f t="array" aca="1" ref="D83" ca="1">INDEX(Tabla11[Dni],ROUND(RAND()*103,0)+1)</f>
        <v>12345678H</v>
      </c>
    </row>
    <row r="84" spans="2:4" x14ac:dyDescent="0.25">
      <c r="B84" t="str">
        <f ca="1">CONCATENATE("P","-",COUNTIF($D$5:D84,"*"))</f>
        <v>P-80</v>
      </c>
      <c r="C84" t="str" cm="1">
        <f t="array" aca="1" ref="C84" ca="1">INDEX(Hoja6!L$6:L$98,ROUND(RAND()*92,0)+1)</f>
        <v>Tarjeta de memoria</v>
      </c>
      <c r="D84" t="str" cm="1">
        <f t="array" aca="1" ref="D84" ca="1">INDEX(Tabla11[Dni],ROUND(RAND()*103,0)+1)</f>
        <v>78901234T</v>
      </c>
    </row>
    <row r="85" spans="2:4" x14ac:dyDescent="0.25">
      <c r="B85" t="str">
        <f ca="1">CONCATENATE("P","-",COUNTIF($D$5:D85,"*"))</f>
        <v>P-81</v>
      </c>
      <c r="C85" t="str" cm="1">
        <f t="array" aca="1" ref="C85" ca="1">INDEX(Hoja6!L$6:L$98,ROUND(RAND()*92,0)+1)</f>
        <v>Botella de agua</v>
      </c>
      <c r="D85" t="str" cm="1">
        <f t="array" aca="1" ref="D85" ca="1">INDEX(Tabla11[Dni],ROUND(RAND()*103,0)+1)</f>
        <v>56789012O</v>
      </c>
    </row>
    <row r="86" spans="2:4" x14ac:dyDescent="0.25">
      <c r="B86" t="str">
        <f ca="1">CONCATENATE("P","-",COUNTIF($D$5:D86,"*"))</f>
        <v>P-82</v>
      </c>
      <c r="C86" t="str" cm="1">
        <f t="array" aca="1" ref="C86" ca="1">INDEX(Hoja6!L$6:L$98,ROUND(RAND()*92,0)+1)</f>
        <v>Reloj de pulsera</v>
      </c>
      <c r="D86" t="str" cm="1">
        <f t="array" aca="1" ref="D86" ca="1">INDEX(Tabla11[Dni],ROUND(RAND()*103,0)+1)</f>
        <v>89012345Y</v>
      </c>
    </row>
    <row r="87" spans="2:4" x14ac:dyDescent="0.25">
      <c r="B87" t="str">
        <f ca="1">CONCATENATE("P","-",COUNTIF($D$5:D87,"*"))</f>
        <v>P-83</v>
      </c>
      <c r="C87" t="str" cm="1">
        <f t="array" aca="1" ref="C87" ca="1">INDEX(Hoja6!L$6:L$98,ROUND(RAND()*92,0)+1)</f>
        <v>Altavoz</v>
      </c>
      <c r="D87" t="str" cm="1">
        <f t="array" aca="1" ref="D87" ca="1">INDEX(Tabla11[Dni],ROUND(RAND()*103,0)+1)</f>
        <v>45678901N</v>
      </c>
    </row>
    <row r="88" spans="2:4" x14ac:dyDescent="0.25">
      <c r="B88" t="str">
        <f ca="1">CONCATENATE("P","-",COUNTIF($D$5:D88,"*"))</f>
        <v>P-84</v>
      </c>
      <c r="C88" t="str" cm="1">
        <f t="array" aca="1" ref="C88" ca="1">INDEX(Hoja6!L$6:L$98,ROUND(RAND()*92,0)+1)</f>
        <v>Pintalabios</v>
      </c>
      <c r="D88" t="str" cm="1">
        <f t="array" aca="1" ref="D88" ca="1">INDEX(Tabla11[Dni],ROUND(RAND()*103,0)+1)</f>
        <v>01234567Q</v>
      </c>
    </row>
    <row r="89" spans="2:4" x14ac:dyDescent="0.25">
      <c r="B89" t="str">
        <f ca="1">CONCATENATE("P","-",COUNTIF($D$5:D89,"*"))</f>
        <v>P-85</v>
      </c>
      <c r="C89" t="str" cm="1">
        <f t="array" aca="1" ref="C89" ca="1">INDEX(Hoja6!L$6:L$98,ROUND(RAND()*92,0)+1)</f>
        <v>Paquete de galletas</v>
      </c>
      <c r="D89" t="str" cm="1">
        <f t="array" aca="1" ref="D89" ca="1">INDEX(Tabla11[Dni],ROUND(RAND()*103,0)+1)</f>
        <v>56789012B</v>
      </c>
    </row>
    <row r="90" spans="2:4" x14ac:dyDescent="0.25">
      <c r="B90" t="str">
        <f ca="1">CONCATENATE("P","-",COUNTIF($D$5:D90,"*"))</f>
        <v>P-86</v>
      </c>
      <c r="C90" t="str" cm="1">
        <f t="array" aca="1" ref="C90" ca="1">INDEX(Hoja6!L$6:L$98,ROUND(RAND()*92,0)+1)</f>
        <v>Silla</v>
      </c>
      <c r="D90" t="str" cm="1">
        <f t="array" aca="1" ref="D90" ca="1">INDEX(Tabla11[Dni],ROUND(RAND()*103,0)+1)</f>
        <v>23456789V</v>
      </c>
    </row>
    <row r="91" spans="2:4" x14ac:dyDescent="0.25">
      <c r="B91" t="str">
        <f ca="1">CONCATENATE("P","-",COUNTIF($D$5:D91,"*"))</f>
        <v>P-87</v>
      </c>
      <c r="C91" t="str" cm="1">
        <f t="array" aca="1" ref="C91" ca="1">INDEX(Hoja6!L$6:L$98,ROUND(RAND()*92,0)+1)</f>
        <v>Batería externa</v>
      </c>
      <c r="D91" t="str" cm="1">
        <f t="array" aca="1" ref="D91" ca="1">INDEX(Tabla11[Dni],ROUND(RAND()*103,0)+1)</f>
        <v>45678901Q</v>
      </c>
    </row>
    <row r="92" spans="2:4" x14ac:dyDescent="0.25">
      <c r="B92" t="str">
        <f ca="1">CONCATENATE("P","-",COUNTIF($D$5:D92,"*"))</f>
        <v>P-88</v>
      </c>
      <c r="C92" t="str" cm="1">
        <f t="array" aca="1" ref="C92" ca="1">INDEX(Hoja6!L$6:L$98,ROUND(RAND()*92,0)+1)</f>
        <v>Lámpara</v>
      </c>
      <c r="D92" t="str" cm="1">
        <f t="array" aca="1" ref="D92" ca="1">INDEX(Tabla11[Dni],ROUND(RAND()*103,0)+1)</f>
        <v>78901234D</v>
      </c>
    </row>
    <row r="93" spans="2:4" x14ac:dyDescent="0.25">
      <c r="B93" t="str">
        <f ca="1">CONCATENATE("P","-",COUNTIF($D$5:D93,"*"))</f>
        <v>P-89</v>
      </c>
      <c r="C93" t="str" cm="1">
        <f t="array" aca="1" ref="C93" ca="1">INDEX(Hoja6!L$6:L$98,ROUND(RAND()*92,0)+1)</f>
        <v>Teléfono móvil</v>
      </c>
      <c r="D93" t="str" cm="1">
        <f t="array" aca="1" ref="D93" ca="1">INDEX(Tabla11[Dni],ROUND(RAND()*103,0)+1)</f>
        <v>90123456B</v>
      </c>
    </row>
    <row r="94" spans="2:4" x14ac:dyDescent="0.25">
      <c r="B94" t="str">
        <f ca="1">CONCATENATE("P","-",COUNTIF($D$5:D94,"*"))</f>
        <v>P-90</v>
      </c>
      <c r="C94" t="str" cm="1">
        <f t="array" aca="1" ref="C94" ca="1">INDEX(Hoja6!L$6:L$98,ROUND(RAND()*92,0)+1)</f>
        <v>Zapatos</v>
      </c>
      <c r="D94" t="str" cm="1">
        <f t="array" aca="1" ref="D94" ca="1">INDEX(Tabla11[Dni],ROUND(RAND()*103,0)+1)</f>
        <v>34567890C</v>
      </c>
    </row>
    <row r="95" spans="2:4" x14ac:dyDescent="0.25">
      <c r="B95" t="str">
        <f ca="1">CONCATENATE("P","-",COUNTIF($D$5:D95,"*"))</f>
        <v>P-91</v>
      </c>
      <c r="C95" t="str" cm="1">
        <f t="array" aca="1" ref="C95" ca="1">INDEX(Hoja6!L$6:L$98,ROUND(RAND()*92,0)+1)</f>
        <v>Taza</v>
      </c>
      <c r="D95" t="str" cm="1">
        <f t="array" aca="1" ref="D95" ca="1">INDEX(Tabla11[Dni],ROUND(RAND()*103,0)+1)</f>
        <v>90123456L</v>
      </c>
    </row>
    <row r="96" spans="2:4" x14ac:dyDescent="0.25">
      <c r="B96" t="str">
        <f ca="1">CONCATENATE("P","-",COUNTIF($D$5:D96,"*"))</f>
        <v>P-92</v>
      </c>
      <c r="C96" t="str" cm="1">
        <f t="array" aca="1" ref="C96" ca="1">INDEX(Hoja6!L$6:L$98,ROUND(RAND()*92,0)+1)</f>
        <v>Pintalabios</v>
      </c>
      <c r="D96" t="str" cm="1">
        <f t="array" aca="1" ref="D96" ca="1">INDEX(Tabla11[Dni],ROUND(RAND()*103,0)+1)</f>
        <v>34567890T</v>
      </c>
    </row>
    <row r="97" spans="2:4" x14ac:dyDescent="0.25">
      <c r="B97" t="str">
        <f ca="1">CONCATENATE("P","-",COUNTIF($D$5:D97,"*"))</f>
        <v>P-93</v>
      </c>
      <c r="C97" t="str" cm="1">
        <f t="array" aca="1" ref="C97" ca="1">INDEX(Hoja6!L$6:L$98,ROUND(RAND()*92,0)+1)</f>
        <v>Candelabro</v>
      </c>
      <c r="D97" t="str" cm="1">
        <f t="array" aca="1" ref="D97" ca="1">INDEX(Tabla11[Dni],ROUND(RAND()*103,0)+1)</f>
        <v>23456789K</v>
      </c>
    </row>
    <row r="98" spans="2:4" x14ac:dyDescent="0.25">
      <c r="B98" t="str">
        <f ca="1">CONCATENATE("P","-",COUNTIF($D$5:D98,"*"))</f>
        <v>P-94</v>
      </c>
      <c r="C98" t="str" cm="1">
        <f t="array" aca="1" ref="C98" ca="1">INDEX(Hoja6!L$6:L$98,ROUND(RAND()*92,0)+1)</f>
        <v>Cuaderno</v>
      </c>
      <c r="D98" t="str" cm="1">
        <f t="array" aca="1" ref="D98" ca="1">INDEX(Tabla11[Dni],ROUND(RAND()*103,0)+1)</f>
        <v>45678901A</v>
      </c>
    </row>
    <row r="99" spans="2:4" x14ac:dyDescent="0.25">
      <c r="B99" t="str">
        <f ca="1">CONCATENATE("P","-",COUNTIF($D$5:D99,"*"))</f>
        <v>P-95</v>
      </c>
      <c r="C99" t="str" cm="1">
        <f t="array" aca="1" ref="C99" ca="1">INDEX(Hoja6!L$6:L$98,ROUND(RAND()*92,0)+1)</f>
        <v>Teclado</v>
      </c>
      <c r="D99" t="str" cm="1">
        <f t="array" aca="1" ref="D99" ca="1">INDEX(Tabla11[Dni],ROUND(RAND()*103,0)+1)</f>
        <v>45678901N</v>
      </c>
    </row>
    <row r="100" spans="2:4" x14ac:dyDescent="0.25">
      <c r="B100" t="str">
        <f ca="1">CONCATENATE("P","-",COUNTIF($D$5:D100,"*"))</f>
        <v>P-96</v>
      </c>
      <c r="C100" t="str" cm="1">
        <f t="array" aca="1" ref="C100" ca="1">INDEX(Hoja6!L$6:L$98,ROUND(RAND()*92,0)+1)</f>
        <v>Bote de pintura</v>
      </c>
      <c r="D100" t="str" cm="1">
        <f t="array" aca="1" ref="D100" ca="1">INDEX(Tabla11[Dni],ROUND(RAND()*103,0)+1)</f>
        <v>23456789O</v>
      </c>
    </row>
    <row r="101" spans="2:4" x14ac:dyDescent="0.25">
      <c r="B101" t="str">
        <f ca="1">CONCATENATE("P","-",COUNTIF($D$5:D101,"*"))</f>
        <v>P-97</v>
      </c>
      <c r="C101" t="str" cm="1">
        <f t="array" aca="1" ref="C101" ca="1">INDEX(Hoja6!L$6:L$98,ROUND(RAND()*92,0)+1)</f>
        <v>Cinta de correr</v>
      </c>
      <c r="D101" t="str" cm="1">
        <f t="array" aca="1" ref="D101" ca="1">INDEX(Tabla11[Dni],ROUND(RAND()*103,0)+1)</f>
        <v>01234567Q</v>
      </c>
    </row>
    <row r="102" spans="2:4" x14ac:dyDescent="0.25">
      <c r="B102" t="str">
        <f ca="1">CONCATENATE("P","-",COUNTIF($D$5:D102,"*"))</f>
        <v>P-98</v>
      </c>
      <c r="C102" t="str" cm="1">
        <f t="array" aca="1" ref="C102" ca="1">INDEX(Hoja6!L$6:L$98,ROUND(RAND()*92,0)+1)</f>
        <v>Vino</v>
      </c>
      <c r="D102" t="str" cm="1">
        <f t="array" aca="1" ref="D102" ca="1">INDEX(Tabla11[Dni],ROUND(RAND()*103,0)+1)</f>
        <v>34567890Z</v>
      </c>
    </row>
    <row r="103" spans="2:4" x14ac:dyDescent="0.25">
      <c r="B103" t="str">
        <f ca="1">CONCATENATE("P","-",COUNTIF($D$5:D103,"*"))</f>
        <v>P-99</v>
      </c>
      <c r="C103" t="str" cm="1">
        <f t="array" aca="1" ref="C103" ca="1">INDEX(Hoja6!L$6:L$98,ROUND(RAND()*92,0)+1)</f>
        <v>Sombrero de copa</v>
      </c>
      <c r="D103" t="str" cm="1">
        <f t="array" aca="1" ref="D103" ca="1">INDEX(Tabla11[Dni],ROUND(RAND()*103,0)+1)</f>
        <v>89012345Y</v>
      </c>
    </row>
    <row r="104" spans="2:4" x14ac:dyDescent="0.25">
      <c r="B104" t="str">
        <f ca="1">CONCATENATE("P","-",COUNTIF($D$5:D104,"*"))</f>
        <v>P-100</v>
      </c>
      <c r="C104" t="str" cm="1">
        <f t="array" aca="1" ref="C104" ca="1">INDEX(Hoja6!L$6:L$98,ROUND(RAND()*92,0)+1)</f>
        <v>Caja de herramientas</v>
      </c>
      <c r="D104" t="str" cm="1">
        <f t="array" aca="1" ref="D104" ca="1">INDEX(Tabla11[Dni],ROUND(RAND()*103,0)+1)</f>
        <v>34567890B</v>
      </c>
    </row>
    <row r="105" spans="2:4" x14ac:dyDescent="0.25">
      <c r="B105" t="str">
        <f ca="1">CONCATENATE("P","-",COUNTIF($D$5:D105,"*"))</f>
        <v>P-101</v>
      </c>
      <c r="C105" t="str" cm="1">
        <f t="array" aca="1" ref="C105" ca="1">INDEX(Hoja6!L$6:L$98,ROUND(RAND()*92,0)+1)</f>
        <v>Pintura</v>
      </c>
      <c r="D105" t="str" cm="1">
        <f t="array" aca="1" ref="D105" ca="1">INDEX(Tabla11[Dni],ROUND(RAND()*103,0)+1)</f>
        <v>90123456P</v>
      </c>
    </row>
    <row r="106" spans="2:4" x14ac:dyDescent="0.25">
      <c r="B106" t="str">
        <f ca="1">CONCATENATE("P","-",COUNTIF($D$5:D106,"*"))</f>
        <v>P-102</v>
      </c>
      <c r="C106" t="str" cm="1">
        <f t="array" aca="1" ref="C106" ca="1">INDEX(Hoja6!L$6:L$98,ROUND(RAND()*92,0)+1)</f>
        <v>Árbol de Navidad</v>
      </c>
      <c r="D106" t="str" cm="1">
        <f t="array" aca="1" ref="D106" ca="1">INDEX(Tabla11[Dni],ROUND(RAND()*103,0)+1)</f>
        <v>89012345U</v>
      </c>
    </row>
    <row r="107" spans="2:4" x14ac:dyDescent="0.25">
      <c r="B107" t="str">
        <f ca="1">CONCATENATE("P","-",COUNTIF($D$5:D107,"*"))</f>
        <v>P-103</v>
      </c>
      <c r="C107" t="str" cm="1">
        <f t="array" aca="1" ref="C107" ca="1">INDEX(Hoja6!L$6:L$98,ROUND(RAND()*92,0)+1)</f>
        <v>Camisa</v>
      </c>
      <c r="D107" t="str" cm="1">
        <f t="array" aca="1" ref="D107" ca="1">INDEX(Tabla11[Dni],ROUND(RAND()*103,0)+1)</f>
        <v>67890123S</v>
      </c>
    </row>
    <row r="108" spans="2:4" x14ac:dyDescent="0.25">
      <c r="B108" t="str">
        <f ca="1">CONCATENATE("P","-",COUNTIF($D$5:D108,"*"))</f>
        <v>P-104</v>
      </c>
      <c r="C108" t="str" cm="1">
        <f t="array" aca="1" ref="C108" ca="1">INDEX(Hoja6!L$6:L$98,ROUND(RAND()*92,0)+1)</f>
        <v>Planta</v>
      </c>
      <c r="D108" t="str" cm="1">
        <f t="array" aca="1" ref="D108" ca="1">INDEX(Tabla11[Dni],ROUND(RAND()*103,0)+1)</f>
        <v>67890123F</v>
      </c>
    </row>
    <row r="109" spans="2:4" x14ac:dyDescent="0.25">
      <c r="B109" t="str">
        <f ca="1">CONCATENATE("P","-",COUNTIF($D$5:D109,"*"))</f>
        <v>P-105</v>
      </c>
      <c r="C109" t="str" cm="1">
        <f t="array" aca="1" ref="C109" ca="1">INDEX(Hoja6!L$6:L$98,ROUND(RAND()*92,0)+1)</f>
        <v>Pintura</v>
      </c>
      <c r="D109" t="str" cm="1">
        <f t="array" aca="1" ref="D109" ca="1">INDEX(Tabla11[Dni],ROUND(RAND()*103,0)+1)</f>
        <v>45678901N</v>
      </c>
    </row>
    <row r="110" spans="2:4" x14ac:dyDescent="0.25">
      <c r="B110" t="str">
        <f ca="1">CONCATENATE("P","-",COUNTIF($D$5:D110,"*"))</f>
        <v>P-106</v>
      </c>
      <c r="C110" t="str" cm="1">
        <f t="array" aca="1" ref="C110" ca="1">INDEX(Hoja6!L$6:L$98,ROUND(RAND()*92,0)+1)</f>
        <v>Álbum de fotos</v>
      </c>
      <c r="D110" t="str" cm="1">
        <f t="array" aca="1" ref="D110" ca="1">INDEX(Tabla11[Dni],ROUND(RAND()*103,0)+1)</f>
        <v>56789012Y</v>
      </c>
    </row>
    <row r="111" spans="2:4" x14ac:dyDescent="0.25">
      <c r="B111" t="str">
        <f ca="1">CONCATENATE("P","-",COUNTIF($D$5:D111,"*"))</f>
        <v>P-107</v>
      </c>
      <c r="C111" t="str" cm="1">
        <f t="array" aca="1" ref="C111" ca="1">INDEX(Hoja6!L$6:L$98,ROUND(RAND()*92,0)+1)</f>
        <v>Saco de dormir</v>
      </c>
      <c r="D111" t="str" cm="1">
        <f t="array" aca="1" ref="D111" ca="1">INDEX(Tabla11[Dni],ROUND(RAND()*103,0)+1)</f>
        <v>90123456R</v>
      </c>
    </row>
    <row r="112" spans="2:4" x14ac:dyDescent="0.25">
      <c r="B112" t="str">
        <f ca="1">CONCATENATE("P","-",COUNTIF($D$5:D112,"*"))</f>
        <v>P-108</v>
      </c>
      <c r="C112" t="str" cm="1">
        <f t="array" aca="1" ref="C112" ca="1">INDEX(Hoja6!L$6:L$98,ROUND(RAND()*92,0)+1)</f>
        <v>Candelabro</v>
      </c>
      <c r="D112" t="str" cm="1">
        <f t="array" aca="1" ref="D112" ca="1">INDEX(Tabla11[Dni],ROUND(RAND()*103,0)+1)</f>
        <v>45678901U</v>
      </c>
    </row>
    <row r="113" spans="2:4" x14ac:dyDescent="0.25">
      <c r="B113" t="str">
        <f ca="1">CONCATENATE("P","-",COUNTIF($D$5:D113,"*"))</f>
        <v>P-109</v>
      </c>
      <c r="C113" t="str" cm="1">
        <f t="array" aca="1" ref="C113" ca="1">INDEX(Hoja6!L$6:L$98,ROUND(RAND()*92,0)+1)</f>
        <v>Cuchillo</v>
      </c>
      <c r="D113" t="str" cm="1">
        <f t="array" aca="1" ref="D113" ca="1">INDEX(Tabla11[Dni],ROUND(RAND()*103,0)+1)</f>
        <v>56789012H</v>
      </c>
    </row>
    <row r="114" spans="2:4" x14ac:dyDescent="0.25">
      <c r="B114" t="str">
        <f ca="1">CONCATENATE("P","-",COUNTIF($D$5:D114,"*"))</f>
        <v>P-110</v>
      </c>
      <c r="C114" t="str" cm="1">
        <f t="array" aca="1" ref="C114" ca="1">INDEX(Hoja6!L$6:L$98,ROUND(RAND()*92,0)+1)</f>
        <v>Caja de música</v>
      </c>
      <c r="D114" t="str" cm="1">
        <f t="array" aca="1" ref="D114" ca="1">INDEX(Tabla11[Dni],ROUND(RAND()*103,0)+1)</f>
        <v>90123456B</v>
      </c>
    </row>
    <row r="115" spans="2:4" x14ac:dyDescent="0.25">
      <c r="B115" t="str">
        <f ca="1">CONCATENATE("P","-",COUNTIF($D$5:D115,"*"))</f>
        <v>P-111</v>
      </c>
      <c r="C115" t="str" cm="1">
        <f t="array" aca="1" ref="C115" ca="1">INDEX(Hoja6!L$6:L$98,ROUND(RAND()*92,0)+1)</f>
        <v>Jabón de manos</v>
      </c>
      <c r="D115" t="str" cm="1">
        <f t="array" aca="1" ref="D115" ca="1">INDEX(Tabla11[Dni],ROUND(RAND()*103,0)+1)</f>
        <v>45678901Q</v>
      </c>
    </row>
    <row r="116" spans="2:4" x14ac:dyDescent="0.25">
      <c r="B116" t="str">
        <f ca="1">CONCATENATE("P","-",COUNTIF($D$5:D116,"*"))</f>
        <v>P-112</v>
      </c>
      <c r="C116" t="str" cm="1">
        <f t="array" aca="1" ref="C116" ca="1">INDEX(Hoja6!L$6:L$98,ROUND(RAND()*92,0)+1)</f>
        <v>Altavoz</v>
      </c>
      <c r="D116" t="str" cm="1">
        <f t="array" aca="1" ref="D116" ca="1">INDEX(Tabla11[Dni],ROUND(RAND()*103,0)+1)</f>
        <v>23456789K</v>
      </c>
    </row>
    <row r="117" spans="2:4" x14ac:dyDescent="0.25">
      <c r="B117" t="str">
        <f ca="1">CONCATENATE("P","-",COUNTIF($D$5:D117,"*"))</f>
        <v>P-113</v>
      </c>
      <c r="C117" t="str" cm="1">
        <f t="array" aca="1" ref="C117" ca="1">INDEX(Hoja6!L$6:L$98,ROUND(RAND()*92,0)+1)</f>
        <v>Taza de café</v>
      </c>
      <c r="D117" t="str" cm="1">
        <f t="array" aca="1" ref="D117" ca="1">INDEX(Tabla11[Dni],ROUND(RAND()*103,0)+1)</f>
        <v>01234567I</v>
      </c>
    </row>
    <row r="118" spans="2:4" x14ac:dyDescent="0.25">
      <c r="B118" t="str">
        <f ca="1">CONCATENATE("P","-",COUNTIF($D$5:D118,"*"))</f>
        <v>P-114</v>
      </c>
      <c r="C118" t="str" cm="1">
        <f t="array" aca="1" ref="C118" ca="1">INDEX(Hoja6!L$6:L$98,ROUND(RAND()*92,0)+1)</f>
        <v>Álbum de fotos</v>
      </c>
      <c r="D118" t="str" cm="1">
        <f t="array" aca="1" ref="D118" ca="1">INDEX(Tabla11[Dni],ROUND(RAND()*103,0)+1)</f>
        <v>34567890L</v>
      </c>
    </row>
    <row r="119" spans="2:4" x14ac:dyDescent="0.25">
      <c r="B119" t="str">
        <f ca="1">CONCATENATE("P","-",COUNTIF($D$5:D119,"*"))</f>
        <v>P-115</v>
      </c>
      <c r="C119" t="str" cm="1">
        <f t="array" aca="1" ref="C119" ca="1">INDEX(Hoja6!L$6:L$98,ROUND(RAND()*92,0)+1)</f>
        <v>Escultura</v>
      </c>
      <c r="D119" t="str" cm="1">
        <f t="array" aca="1" ref="D119" ca="1">INDEX(Tabla11[Dni],ROUND(RAND()*103,0)+1)</f>
        <v>78901234P</v>
      </c>
    </row>
    <row r="120" spans="2:4" x14ac:dyDescent="0.25">
      <c r="B120" t="str">
        <f ca="1">CONCATENATE("P","-",COUNTIF($D$5:D120,"*"))</f>
        <v>P-116</v>
      </c>
      <c r="C120" t="str" cm="1">
        <f t="array" aca="1" ref="C120" ca="1">INDEX(Hoja6!L$6:L$98,ROUND(RAND()*92,0)+1)</f>
        <v>Altavoz</v>
      </c>
      <c r="D120" t="str" cm="1">
        <f t="array" aca="1" ref="D120" ca="1">INDEX(Tabla11[Dni],ROUND(RAND()*103,0)+1)</f>
        <v>23456789A</v>
      </c>
    </row>
    <row r="121" spans="2:4" x14ac:dyDescent="0.25">
      <c r="B121" t="str">
        <f ca="1">CONCATENATE("P","-",COUNTIF($D$5:D121,"*"))</f>
        <v>P-117</v>
      </c>
      <c r="C121" t="str" cm="1">
        <f t="array" aca="1" ref="C121" ca="1">INDEX(Hoja6!L$6:L$98,ROUND(RAND()*92,0)+1)</f>
        <v>Disco duro externo</v>
      </c>
      <c r="D121" t="str" cm="1">
        <f t="array" aca="1" ref="D121" ca="1">INDEX(Tabla11[Dni],ROUND(RAND()*103,0)+1)</f>
        <v>34567890V</v>
      </c>
    </row>
    <row r="122" spans="2:4" x14ac:dyDescent="0.25">
      <c r="B122" t="str">
        <f ca="1">CONCATENATE("P","-",COUNTIF($D$5:D122,"*"))</f>
        <v>P-118</v>
      </c>
      <c r="C122" t="str" cm="1">
        <f t="array" aca="1" ref="C122" ca="1">INDEX(Hoja6!L$6:L$98,ROUND(RAND()*92,0)+1)</f>
        <v>Teléfono móvil</v>
      </c>
      <c r="D122" t="str" cm="1">
        <f t="array" aca="1" ref="D122" ca="1">INDEX(Tabla11[Dni],ROUND(RAND()*103,0)+1)</f>
        <v>01234567C</v>
      </c>
    </row>
    <row r="123" spans="2:4" x14ac:dyDescent="0.25">
      <c r="B123" t="str">
        <f ca="1">CONCATENATE("P","-",COUNTIF($D$5:D123,"*"))</f>
        <v>P-119</v>
      </c>
      <c r="C123" t="str" cm="1">
        <f t="array" aca="1" ref="C123" ca="1">INDEX(Hoja6!L$6:L$98,ROUND(RAND()*92,0)+1)</f>
        <v>Pelota de fútbol</v>
      </c>
      <c r="D123" t="str" cm="1">
        <f t="array" aca="1" ref="D123" ca="1">INDEX(Tabla11[Dni],ROUND(RAND()*103,0)+1)</f>
        <v>23456789A</v>
      </c>
    </row>
    <row r="124" spans="2:4" x14ac:dyDescent="0.25">
      <c r="B124" t="str">
        <f ca="1">CONCATENATE("P","-",COUNTIF($D$5:D124,"*"))</f>
        <v>P-120</v>
      </c>
      <c r="C124" t="str" cm="1">
        <f t="array" aca="1" ref="C124" ca="1">INDEX(Hoja6!L$6:L$98,ROUND(RAND()*92,0)+1)</f>
        <v>Cepillo para el pelo</v>
      </c>
      <c r="D124" t="str" cm="1">
        <f t="array" aca="1" ref="D124" ca="1">INDEX(Tabla11[Dni],ROUND(RAND()*103,0)+1)</f>
        <v>45678901G</v>
      </c>
    </row>
    <row r="125" spans="2:4" x14ac:dyDescent="0.25">
      <c r="B125" t="str">
        <f ca="1">CONCATENATE("P","-",COUNTIF($D$5:D125,"*"))</f>
        <v>P-121</v>
      </c>
      <c r="C125" t="str" cm="1">
        <f t="array" aca="1" ref="C125" ca="1">INDEX(Hoja6!L$6:L$98,ROUND(RAND()*92,0)+1)</f>
        <v>Jabón de manos</v>
      </c>
      <c r="D125" t="str" cm="1">
        <f t="array" aca="1" ref="D125" ca="1">INDEX(Tabla11[Dni],ROUND(RAND()*103,0)+1)</f>
        <v>89012345U</v>
      </c>
    </row>
    <row r="126" spans="2:4" x14ac:dyDescent="0.25">
      <c r="B126" t="str">
        <f ca="1">CONCATENATE("P","-",COUNTIF($D$5:D126,"*"))</f>
        <v>P-122</v>
      </c>
      <c r="C126" t="str" cm="1">
        <f t="array" aca="1" ref="C126" ca="1">INDEX(Hoja6!L$6:L$98,ROUND(RAND()*92,0)+1)</f>
        <v>Bolígrafo</v>
      </c>
      <c r="D126" t="str" cm="1">
        <f t="array" aca="1" ref="D126" ca="1">INDEX(Tabla11[Dni],ROUND(RAND()*103,0)+1)</f>
        <v>56789012L</v>
      </c>
    </row>
    <row r="127" spans="2:4" x14ac:dyDescent="0.25">
      <c r="B127" t="str">
        <f ca="1">CONCATENATE("P","-",COUNTIF($D$5:D127,"*"))</f>
        <v>P-123</v>
      </c>
      <c r="C127" t="str" cm="1">
        <f t="array" aca="1" ref="C127" ca="1">INDEX(Hoja6!L$6:L$98,ROUND(RAND()*92,0)+1)</f>
        <v>Linterna</v>
      </c>
      <c r="D127" t="str" cm="1">
        <f t="array" aca="1" ref="D127" ca="1">INDEX(Tabla11[Dni],ROUND(RAND()*103,0)+1)</f>
        <v>34567890V</v>
      </c>
    </row>
    <row r="128" spans="2:4" x14ac:dyDescent="0.25">
      <c r="B128" t="str">
        <f ca="1">CONCATENATE("P","-",COUNTIF($D$5:D128,"*"))</f>
        <v>P-124</v>
      </c>
      <c r="C128" t="str" cm="1">
        <f t="array" aca="1" ref="C128" ca="1">INDEX(Hoja6!L$6:L$98,ROUND(RAND()*92,0)+1)</f>
        <v>Agua tónica</v>
      </c>
      <c r="D128" t="str" cm="1">
        <f t="array" aca="1" ref="D128" ca="1">INDEX(Tabla11[Dni],ROUND(RAND()*103,0)+1)</f>
        <v>23456789K</v>
      </c>
    </row>
    <row r="129" spans="2:4" x14ac:dyDescent="0.25">
      <c r="B129" t="str">
        <f ca="1">CONCATENATE("P","-",COUNTIF($D$5:D129,"*"))</f>
        <v>P-125</v>
      </c>
      <c r="C129" t="str" cm="1">
        <f t="array" aca="1" ref="C129" ca="1">INDEX(Hoja6!L$6:L$98,ROUND(RAND()*92,0)+1)</f>
        <v>Caja de bombones</v>
      </c>
      <c r="D129" t="str" cm="1">
        <f t="array" aca="1" ref="D129" ca="1">INDEX(Tabla11[Dni],ROUND(RAND()*103,0)+1)</f>
        <v>67890123F</v>
      </c>
    </row>
    <row r="130" spans="2:4" x14ac:dyDescent="0.25">
      <c r="B130" t="str">
        <f ca="1">CONCATENATE("P","-",COUNTIF($D$5:D130,"*"))</f>
        <v>P-126</v>
      </c>
      <c r="C130" t="str" cm="1">
        <f t="array" aca="1" ref="C130" ca="1">INDEX(Hoja6!L$6:L$98,ROUND(RAND()*92,0)+1)</f>
        <v>Teclado</v>
      </c>
      <c r="D130" t="str" cm="1">
        <f t="array" aca="1" ref="D130" ca="1">INDEX(Tabla11[Dni],ROUND(RAND()*103,0)+1)</f>
        <v>12345678N</v>
      </c>
    </row>
    <row r="131" spans="2:4" x14ac:dyDescent="0.25">
      <c r="B131" t="str">
        <f ca="1">CONCATENATE("P","-",COUNTIF($D$5:D131,"*"))</f>
        <v>P-127</v>
      </c>
      <c r="C131" t="str" cm="1">
        <f t="array" aca="1" ref="C131" ca="1">INDEX(Hoja6!L$6:L$98,ROUND(RAND()*92,0)+1)</f>
        <v>Bote de pintura</v>
      </c>
      <c r="D131" t="str" cm="1">
        <f t="array" aca="1" ref="D131" ca="1">INDEX(Tabla11[Dni],ROUND(RAND()*103,0)+1)</f>
        <v>78901234F</v>
      </c>
    </row>
    <row r="132" spans="2:4" x14ac:dyDescent="0.25">
      <c r="B132" t="str">
        <f ca="1">CONCATENATE("P","-",COUNTIF($D$5:D132,"*"))</f>
        <v>P-128</v>
      </c>
      <c r="C132" t="str" cm="1">
        <f t="array" aca="1" ref="C132" ca="1">INDEX(Hoja6!L$6:L$98,ROUND(RAND()*92,0)+1)</f>
        <v>Paquete de galletas</v>
      </c>
      <c r="D132" t="str" cm="1">
        <f t="array" aca="1" ref="D132" ca="1">INDEX(Tabla11[Dni],ROUND(RAND()*103,0)+1)</f>
        <v>56789012N</v>
      </c>
    </row>
    <row r="133" spans="2:4" x14ac:dyDescent="0.25">
      <c r="B133" t="str">
        <f ca="1">CONCATENATE("P","-",COUNTIF($D$5:D133,"*"))</f>
        <v>P-129</v>
      </c>
      <c r="C133" t="str" cm="1">
        <f t="array" aca="1" ref="C133" ca="1">INDEX(Hoja6!L$6:L$98,ROUND(RAND()*92,0)+1)</f>
        <v>Camisa</v>
      </c>
      <c r="D133" t="str" cm="1">
        <f t="array" aca="1" ref="D133" ca="1">INDEX(Tabla11[Dni],ROUND(RAND()*103,0)+1)</f>
        <v>78901234Q</v>
      </c>
    </row>
    <row r="134" spans="2:4" x14ac:dyDescent="0.25">
      <c r="B134" t="str">
        <f ca="1">CONCATENATE("P","-",COUNTIF($D$5:D134,"*"))</f>
        <v>P-130</v>
      </c>
      <c r="C134" t="str" cm="1">
        <f t="array" aca="1" ref="C134" ca="1">INDEX(Hoja6!L$6:L$98,ROUND(RAND()*92,0)+1)</f>
        <v>Vino</v>
      </c>
      <c r="D134" t="str" cm="1">
        <f t="array" aca="1" ref="D134" ca="1">INDEX(Tabla11[Dni],ROUND(RAND()*103,0)+1)</f>
        <v>67890123F</v>
      </c>
    </row>
    <row r="135" spans="2:4" x14ac:dyDescent="0.25">
      <c r="B135" t="str">
        <f ca="1">CONCATENATE("P","-",COUNTIF($D$5:D135,"*"))</f>
        <v>P-131</v>
      </c>
      <c r="C135" t="str" cm="1">
        <f t="array" aca="1" ref="C135" ca="1">INDEX(Hoja6!L$6:L$98,ROUND(RAND()*92,0)+1)</f>
        <v>Pintalabios</v>
      </c>
      <c r="D135" t="str" cm="1">
        <f t="array" aca="1" ref="D135" ca="1">INDEX(Tabla11[Dni],ROUND(RAND()*103,0)+1)</f>
        <v>56789012V</v>
      </c>
    </row>
    <row r="136" spans="2:4" x14ac:dyDescent="0.25">
      <c r="B136" t="str">
        <f ca="1">CONCATENATE("P","-",COUNTIF($D$5:D136,"*"))</f>
        <v>P-132</v>
      </c>
      <c r="C136" t="str" cm="1">
        <f t="array" aca="1" ref="C136" ca="1">INDEX(Hoja6!L$6:L$98,ROUND(RAND()*92,0)+1)</f>
        <v>Reloj de pulsera</v>
      </c>
      <c r="D136" t="str" cm="1">
        <f t="array" aca="1" ref="D136" ca="1">INDEX(Tabla11[Dni],ROUND(RAND()*103,0)+1)</f>
        <v>45678901Q</v>
      </c>
    </row>
    <row r="137" spans="2:4" x14ac:dyDescent="0.25">
      <c r="B137" t="str">
        <f ca="1">CONCATENATE("P","-",COUNTIF($D$5:D137,"*"))</f>
        <v>P-133</v>
      </c>
      <c r="C137" t="str" cm="1">
        <f t="array" aca="1" ref="C137" ca="1">INDEX(Hoja6!L$6:L$98,ROUND(RAND()*92,0)+1)</f>
        <v>Sombrero</v>
      </c>
      <c r="D137" t="str" cm="1">
        <f t="array" aca="1" ref="D137" ca="1">INDEX(Tabla11[Dni],ROUND(RAND()*103,0)+1)</f>
        <v>67890123W</v>
      </c>
    </row>
    <row r="138" spans="2:4" x14ac:dyDescent="0.25">
      <c r="B138" t="str">
        <f ca="1">CONCATENATE("P","-",COUNTIF($D$5:D138,"*"))</f>
        <v>P-134</v>
      </c>
      <c r="C138" t="str" cm="1">
        <f t="array" aca="1" ref="C138" ca="1">INDEX(Hoja6!L$6:L$98,ROUND(RAND()*92,0)+1)</f>
        <v>Toalla de playa</v>
      </c>
      <c r="D138" t="str" cm="1">
        <f t="array" aca="1" ref="D138" ca="1">INDEX(Tabla11[Dni],ROUND(RAND()*103,0)+1)</f>
        <v>67890123S</v>
      </c>
    </row>
    <row r="139" spans="2:4" x14ac:dyDescent="0.25">
      <c r="B139" t="str">
        <f ca="1">CONCATENATE("P","-",COUNTIF($D$5:D139,"*"))</f>
        <v>P-135</v>
      </c>
      <c r="C139" t="str" cm="1">
        <f t="array" aca="1" ref="C139" ca="1">INDEX(Hoja6!L$6:L$98,ROUND(RAND()*92,0)+1)</f>
        <v>Guitarra eléctrica</v>
      </c>
      <c r="D139" t="str" cm="1">
        <f t="array" aca="1" ref="D139" ca="1">INDEX(Tabla11[Dni],ROUND(RAND()*103,0)+1)</f>
        <v>34567890C</v>
      </c>
    </row>
    <row r="140" spans="2:4" x14ac:dyDescent="0.25">
      <c r="B140" t="str">
        <f ca="1">CONCATENATE("P","-",COUNTIF($D$5:D140,"*"))</f>
        <v>P-136</v>
      </c>
      <c r="C140" t="str" cm="1">
        <f t="array" aca="1" ref="C140" ca="1">INDEX(Hoja6!L$6:L$98,ROUND(RAND()*92,0)+1)</f>
        <v>Cuchillo</v>
      </c>
      <c r="D140" t="str" cm="1">
        <f t="array" aca="1" ref="D140" ca="1">INDEX(Tabla11[Dni],ROUND(RAND()*103,0)+1)</f>
        <v>34567890J</v>
      </c>
    </row>
    <row r="141" spans="2:4" x14ac:dyDescent="0.25">
      <c r="B141" t="str">
        <f ca="1">CONCATENATE("P","-",COUNTIF($D$5:D141,"*"))</f>
        <v>P-137</v>
      </c>
      <c r="C141" t="str" cm="1">
        <f t="array" aca="1" ref="C141" ca="1">INDEX(Hoja6!L$6:L$98,ROUND(RAND()*92,0)+1)</f>
        <v>Cuadro</v>
      </c>
      <c r="D141" t="str" cm="1">
        <f t="array" aca="1" ref="D141" ca="1">INDEX(Tabla11[Dni],ROUND(RAND()*103,0)+1)</f>
        <v>90123456P</v>
      </c>
    </row>
    <row r="142" spans="2:4" x14ac:dyDescent="0.25">
      <c r="B142" t="str">
        <f ca="1">CONCATENATE("P","-",COUNTIF($D$5:D142,"*"))</f>
        <v>P-138</v>
      </c>
      <c r="C142" t="str" cm="1">
        <f t="array" aca="1" ref="C142" ca="1">INDEX(Hoja6!L$6:L$98,ROUND(RAND()*92,0)+1)</f>
        <v>Candelabro</v>
      </c>
      <c r="D142" t="str" cm="1">
        <f t="array" aca="1" ref="D142" ca="1">INDEX(Tabla11[Dni],ROUND(RAND()*103,0)+1)</f>
        <v>45678901W</v>
      </c>
    </row>
    <row r="143" spans="2:4" x14ac:dyDescent="0.25">
      <c r="B143" t="str">
        <f ca="1">CONCATENATE("P","-",COUNTIF($D$5:D143,"*"))</f>
        <v>P-139</v>
      </c>
      <c r="C143" t="str" cm="1">
        <f t="array" aca="1" ref="C143" ca="1">INDEX(Hoja6!L$6:L$98,ROUND(RAND()*92,0)+1)</f>
        <v>Caja de herramientas</v>
      </c>
      <c r="D143" t="str" cm="1">
        <f t="array" aca="1" ref="D143" ca="1">INDEX(Tabla11[Dni],ROUND(RAND()*103,0)+1)</f>
        <v>01234567M</v>
      </c>
    </row>
    <row r="144" spans="2:4" x14ac:dyDescent="0.25">
      <c r="B144" t="str">
        <f ca="1">CONCATENATE("P","-",COUNTIF($D$5:D144,"*"))</f>
        <v>P-140</v>
      </c>
      <c r="C144" t="str" cm="1">
        <f t="array" aca="1" ref="C144" ca="1">INDEX(Hoja6!L$6:L$98,ROUND(RAND()*92,0)+1)</f>
        <v>Monitor</v>
      </c>
      <c r="D144" t="str" cm="1">
        <f t="array" aca="1" ref="D144" ca="1">INDEX(Tabla11[Dni],ROUND(RAND()*103,0)+1)</f>
        <v>34567890T</v>
      </c>
    </row>
    <row r="145" spans="2:4" x14ac:dyDescent="0.25">
      <c r="B145" t="str">
        <f ca="1">CONCATENATE("P","-",COUNTIF($D$5:D145,"*"))</f>
        <v>P-141</v>
      </c>
      <c r="C145" t="str" cm="1">
        <f t="array" aca="1" ref="C145" ca="1">INDEX(Hoja6!L$6:L$98,ROUND(RAND()*92,0)+1)</f>
        <v>Taza</v>
      </c>
      <c r="D145" t="str" cm="1">
        <f t="array" aca="1" ref="D145" ca="1">INDEX(Tabla11[Dni],ROUND(RAND()*103,0)+1)</f>
        <v>67890123Z</v>
      </c>
    </row>
    <row r="146" spans="2:4" x14ac:dyDescent="0.25">
      <c r="B146" t="str">
        <f ca="1">CONCATENATE("P","-",COUNTIF($D$5:D146,"*"))</f>
        <v>P-142</v>
      </c>
      <c r="C146" t="str" cm="1">
        <f t="array" aca="1" ref="C146" ca="1">INDEX(Hoja6!L$6:L$98,ROUND(RAND()*92,0)+1)</f>
        <v>Saco de dormir</v>
      </c>
      <c r="D146" t="str" cm="1">
        <f t="array" aca="1" ref="D146" ca="1">INDEX(Tabla11[Dni],ROUND(RAND()*103,0)+1)</f>
        <v>23456789Y</v>
      </c>
    </row>
    <row r="147" spans="2:4" x14ac:dyDescent="0.25">
      <c r="B147" t="str">
        <f ca="1">CONCATENATE("P","-",COUNTIF($D$5:D147,"*"))</f>
        <v>P-143</v>
      </c>
      <c r="C147" t="str" cm="1">
        <f t="array" aca="1" ref="C147" ca="1">INDEX(Hoja6!L$6:L$98,ROUND(RAND()*92,0)+1)</f>
        <v>Taza</v>
      </c>
      <c r="D147" t="str" cm="1">
        <f t="array" aca="1" ref="D147" ca="1">INDEX(Tabla11[Dni],ROUND(RAND()*103,0)+1)</f>
        <v>12345678N</v>
      </c>
    </row>
    <row r="148" spans="2:4" x14ac:dyDescent="0.25">
      <c r="B148" t="str">
        <f ca="1">CONCATENATE("P","-",COUNTIF($D$5:D148,"*"))</f>
        <v>P-144</v>
      </c>
      <c r="C148" t="str" cm="1">
        <f t="array" aca="1" ref="C148" ca="1">INDEX(Hoja6!L$6:L$98,ROUND(RAND()*92,0)+1)</f>
        <v>Paquete de galletas</v>
      </c>
      <c r="D148" t="str" cm="1">
        <f t="array" aca="1" ref="D148" ca="1">INDEX(Tabla11[Dni],ROUND(RAND()*103,0)+1)</f>
        <v>78901234Z</v>
      </c>
    </row>
    <row r="149" spans="2:4" x14ac:dyDescent="0.25">
      <c r="B149" t="str">
        <f ca="1">CONCATENATE("P","-",COUNTIF($D$5:D149,"*"))</f>
        <v>P-145</v>
      </c>
      <c r="C149" t="str" cm="1">
        <f t="array" aca="1" ref="C149" ca="1">INDEX(Hoja6!L$6:L$98,ROUND(RAND()*92,0)+1)</f>
        <v>Bolsa de patatas fritas</v>
      </c>
      <c r="D149" t="str" cm="1">
        <f t="array" aca="1" ref="D149" ca="1">INDEX(Tabla11[Dni],ROUND(RAND()*103,0)+1)</f>
        <v>45678901A</v>
      </c>
    </row>
    <row r="150" spans="2:4" x14ac:dyDescent="0.25">
      <c r="B150" t="str">
        <f ca="1">CONCATENATE("P","-",COUNTIF($D$5:D150,"*"))</f>
        <v>P-146</v>
      </c>
      <c r="C150" t="str" cm="1">
        <f t="array" aca="1" ref="C150" ca="1">INDEX(Hoja6!L$6:L$98,ROUND(RAND()*92,0)+1)</f>
        <v>Pintura</v>
      </c>
      <c r="D150" t="str" cm="1">
        <f t="array" aca="1" ref="D150" ca="1">INDEX(Tabla11[Dni],ROUND(RAND()*103,0)+1)</f>
        <v>12345678K</v>
      </c>
    </row>
    <row r="151" spans="2:4" x14ac:dyDescent="0.25">
      <c r="B151" t="str">
        <f ca="1">CONCATENATE("P","-",COUNTIF($D$5:D151,"*"))</f>
        <v>P-147</v>
      </c>
      <c r="C151" t="str" cm="1">
        <f t="array" aca="1" ref="C151" ca="1">INDEX(Hoja6!L$6:L$98,ROUND(RAND()*92,0)+1)</f>
        <v>Carcasa para móvil</v>
      </c>
      <c r="D151" t="str" cm="1">
        <f t="array" aca="1" ref="D151" ca="1">INDEX(Tabla11[Dni],ROUND(RAND()*103,0)+1)</f>
        <v>12345678U</v>
      </c>
    </row>
    <row r="152" spans="2:4" x14ac:dyDescent="0.25">
      <c r="B152" t="str">
        <f ca="1">CONCATENATE("P","-",COUNTIF($D$5:D152,"*"))</f>
        <v>P-148</v>
      </c>
      <c r="C152" t="str" cm="1">
        <f t="array" aca="1" ref="C152" ca="1">INDEX(Hoja6!L$6:L$98,ROUND(RAND()*92,0)+1)</f>
        <v>Lápiz</v>
      </c>
      <c r="D152" t="str" cm="1">
        <f t="array" aca="1" ref="D152" ca="1">INDEX(Tabla11[Dni],ROUND(RAND()*103,0)+1)</f>
        <v>67890123M</v>
      </c>
    </row>
    <row r="153" spans="2:4" x14ac:dyDescent="0.25">
      <c r="B153" t="str">
        <f ca="1">CONCATENATE("P","-",COUNTIF($D$5:D153,"*"))</f>
        <v>P-149</v>
      </c>
      <c r="C153" t="str" cm="1">
        <f t="array" aca="1" ref="C153" ca="1">INDEX(Hoja6!L$6:L$98,ROUND(RAND()*92,0)+1)</f>
        <v>Calcetines</v>
      </c>
      <c r="D153" t="str" cm="1">
        <f t="array" aca="1" ref="D153" ca="1">INDEX(Tabla11[Dni],ROUND(RAND()*103,0)+1)</f>
        <v>67890123Z</v>
      </c>
    </row>
    <row r="154" spans="2:4" x14ac:dyDescent="0.25">
      <c r="B154" t="str">
        <f ca="1">CONCATENATE("P","-",COUNTIF($D$5:D154,"*"))</f>
        <v>P-150</v>
      </c>
      <c r="C154" t="str" cm="1">
        <f t="array" aca="1" ref="C154" ca="1">INDEX(Hoja6!L$6:L$98,ROUND(RAND()*92,0)+1)</f>
        <v>Pendientes</v>
      </c>
      <c r="D154" t="str" cm="1">
        <f t="array" aca="1" ref="D154" ca="1">INDEX(Tabla11[Dni],ROUND(RAND()*103,0)+1)</f>
        <v>90123456R</v>
      </c>
    </row>
    <row r="155" spans="2:4" x14ac:dyDescent="0.25">
      <c r="B155" t="str">
        <f ca="1">CONCATENATE("P","-",COUNTIF($D$5:D155,"*"))</f>
        <v>P-151</v>
      </c>
      <c r="C155" t="str" cm="1">
        <f t="array" aca="1" ref="C155" ca="1">INDEX(Hoja6!L$6:L$98,ROUND(RAND()*92,0)+1)</f>
        <v>Cargador</v>
      </c>
      <c r="D155" t="str" cm="1">
        <f t="array" aca="1" ref="D155" ca="1">INDEX(Tabla11[Dni],ROUND(RAND()*103,0)+1)</f>
        <v>23456789B</v>
      </c>
    </row>
    <row r="156" spans="2:4" x14ac:dyDescent="0.25">
      <c r="B156" t="str">
        <f ca="1">CONCATENATE("P","-",COUNTIF($D$5:D156,"*"))</f>
        <v>P-152</v>
      </c>
      <c r="C156" t="str" cm="1">
        <f t="array" aca="1" ref="C156" ca="1">INDEX(Hoja6!L$6:L$98,ROUND(RAND()*92,0)+1)</f>
        <v>Pendientes</v>
      </c>
      <c r="D156" t="str" cm="1">
        <f t="array" aca="1" ref="D156" ca="1">INDEX(Tabla11[Dni],ROUND(RAND()*103,0)+1)</f>
        <v>34567890V</v>
      </c>
    </row>
    <row r="157" spans="2:4" x14ac:dyDescent="0.25">
      <c r="B157" t="str">
        <f ca="1">CONCATENATE("P","-",COUNTIF($D$5:D157,"*"))</f>
        <v>P-153</v>
      </c>
      <c r="C157" t="str" cm="1">
        <f t="array" aca="1" ref="C157" ca="1">INDEX(Hoja6!L$6:L$98,ROUND(RAND()*92,0)+1)</f>
        <v>Flores artificiales</v>
      </c>
      <c r="D157" t="str" cm="1">
        <f t="array" aca="1" ref="D157" ca="1">INDEX(Tabla11[Dni],ROUND(RAND()*103,0)+1)</f>
        <v>90123456H</v>
      </c>
    </row>
    <row r="158" spans="2:4" x14ac:dyDescent="0.25">
      <c r="B158" t="str">
        <f ca="1">CONCATENATE("P","-",COUNTIF($D$5:D158,"*"))</f>
        <v>P-154</v>
      </c>
      <c r="C158" t="str" cm="1">
        <f t="array" aca="1" ref="C158" ca="1">INDEX(Hoja6!L$6:L$98,ROUND(RAND()*92,0)+1)</f>
        <v>Manta</v>
      </c>
      <c r="D158" t="str" cm="1">
        <f t="array" aca="1" ref="D158" ca="1">INDEX(Tabla11[Dni],ROUND(RAND()*103,0)+1)</f>
        <v>78901234N</v>
      </c>
    </row>
    <row r="159" spans="2:4" x14ac:dyDescent="0.25">
      <c r="B159" t="str">
        <f ca="1">CONCATENATE("P","-",COUNTIF($D$5:D159,"*"))</f>
        <v>P-155</v>
      </c>
      <c r="C159" t="str" cm="1">
        <f t="array" aca="1" ref="C159" ca="1">INDEX(Hoja6!L$6:L$98,ROUND(RAND()*92,0)+1)</f>
        <v>Taburete</v>
      </c>
      <c r="D159" t="str" cm="1">
        <f t="array" aca="1" ref="D159" ca="1">INDEX(Tabla11[Dni],ROUND(RAND()*103,0)+1)</f>
        <v>45678901C</v>
      </c>
    </row>
    <row r="160" spans="2:4" x14ac:dyDescent="0.25">
      <c r="B160" t="str">
        <f ca="1">CONCATENATE("P","-",COUNTIF($D$5:D160,"*"))</f>
        <v>P-156</v>
      </c>
      <c r="C160" t="str" cm="1">
        <f t="array" aca="1" ref="C160" ca="1">INDEX(Hoja6!L$6:L$98,ROUND(RAND()*92,0)+1)</f>
        <v>DVD</v>
      </c>
      <c r="D160" t="str" cm="1">
        <f t="array" aca="1" ref="D160" ca="1">INDEX(Tabla11[Dni],ROUND(RAND()*103,0)+1)</f>
        <v>23456789B</v>
      </c>
    </row>
    <row r="161" spans="2:4" x14ac:dyDescent="0.25">
      <c r="B161" t="str">
        <f ca="1">CONCATENATE("P","-",COUNTIF($D$5:D161,"*"))</f>
        <v>P-157</v>
      </c>
      <c r="C161" t="str" cm="1">
        <f t="array" aca="1" ref="C161" ca="1">INDEX(Hoja6!L$6:L$98,ROUND(RAND()*92,0)+1)</f>
        <v>Crema hidratante</v>
      </c>
      <c r="D161" t="str" cm="1">
        <f t="array" aca="1" ref="D161" ca="1">INDEX(Tabla11[Dni],ROUND(RAND()*103,0)+1)</f>
        <v>56789012E</v>
      </c>
    </row>
    <row r="162" spans="2:4" x14ac:dyDescent="0.25">
      <c r="B162" t="str">
        <f ca="1">CONCATENATE("P","-",COUNTIF($D$5:D162,"*"))</f>
        <v>P-158</v>
      </c>
      <c r="C162" t="str" cm="1">
        <f t="array" aca="1" ref="C162" ca="1">INDEX(Hoja6!L$6:L$98,ROUND(RAND()*92,0)+1)</f>
        <v>Bolsa de patatas fritas</v>
      </c>
      <c r="D162" t="str" cm="1">
        <f t="array" aca="1" ref="D162" ca="1">INDEX(Tabla11[Dni],ROUND(RAND()*103,0)+1)</f>
        <v>56789012N</v>
      </c>
    </row>
    <row r="163" spans="2:4" x14ac:dyDescent="0.25">
      <c r="B163" t="str">
        <f ca="1">CONCATENATE("P","-",COUNTIF($D$5:D163,"*"))</f>
        <v>P-159</v>
      </c>
      <c r="C163" t="str" cm="1">
        <f t="array" aca="1" ref="C163" ca="1">INDEX(Hoja6!L$6:L$98,ROUND(RAND()*92,0)+1)</f>
        <v>Pelota de fútbol</v>
      </c>
      <c r="D163" t="str" cm="1">
        <f t="array" aca="1" ref="D163" ca="1">INDEX(Tabla11[Dni],ROUND(RAND()*103,0)+1)</f>
        <v>01234567Q</v>
      </c>
    </row>
    <row r="164" spans="2:4" x14ac:dyDescent="0.25">
      <c r="B164" t="str">
        <f ca="1">CONCATENATE("P","-",COUNTIF($D$5:D164,"*"))</f>
        <v>P-160</v>
      </c>
      <c r="C164" t="str" cm="1">
        <f t="array" aca="1" ref="C164" ca="1">INDEX(Hoja6!L$6:L$98,ROUND(RAND()*92,0)+1)</f>
        <v>Cámara</v>
      </c>
      <c r="D164" t="str" cm="1">
        <f t="array" aca="1" ref="D164" ca="1">INDEX(Tabla11[Dni],ROUND(RAND()*103,0)+1)</f>
        <v>34567890Z</v>
      </c>
    </row>
    <row r="165" spans="2:4" x14ac:dyDescent="0.25">
      <c r="B165" t="str">
        <f ca="1">CONCATENATE("P","-",COUNTIF($D$5:D165,"*"))</f>
        <v>P-161</v>
      </c>
      <c r="C165" t="str" cm="1">
        <f t="array" aca="1" ref="C165" ca="1">INDEX(Hoja6!L$6:L$98,ROUND(RAND()*92,0)+1)</f>
        <v>Auriculares</v>
      </c>
      <c r="D165" t="str" cm="1">
        <f t="array" aca="1" ref="D165" ca="1">INDEX(Tabla11[Dni],ROUND(RAND()*103,0)+1)</f>
        <v>67890123I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7FA9-4960-4F2D-A26D-A8B4E79A9404}">
  <dimension ref="C5:F109"/>
  <sheetViews>
    <sheetView topLeftCell="A85" workbookViewId="0">
      <selection activeCell="G18" sqref="G18"/>
    </sheetView>
  </sheetViews>
  <sheetFormatPr baseColWidth="10" defaultRowHeight="15" x14ac:dyDescent="0.25"/>
  <sheetData>
    <row r="5" spans="3:6" x14ac:dyDescent="0.25">
      <c r="C5" t="s">
        <v>524</v>
      </c>
      <c r="D5" t="s">
        <v>618</v>
      </c>
      <c r="E5" t="s">
        <v>617</v>
      </c>
      <c r="F5" t="s">
        <v>619</v>
      </c>
    </row>
    <row r="6" spans="3:6" x14ac:dyDescent="0.25">
      <c r="C6" t="s">
        <v>5</v>
      </c>
      <c r="D6" t="str" cm="1">
        <f t="array" aca="1" ref="D6" ca="1">INDEX(Hoja6!C$6:C$45,ROUND(RAND()*39,0)+1)</f>
        <v>Francisco</v>
      </c>
      <c r="E6" t="str" cm="1">
        <f t="array" aca="1" ref="E6" ca="1">INDEX(Hoja6!D$6:D$45,ROUND(RAND()*39,0)+1)</f>
        <v>Hernández</v>
      </c>
      <c r="F6" t="str" cm="1">
        <f t="array" aca="1" ref="F6" ca="1">INDEX(Tabla9[id_direccion],ROUND(RAND()*215,0)+1)</f>
        <v>M-LIN</v>
      </c>
    </row>
    <row r="7" spans="3:6" x14ac:dyDescent="0.25">
      <c r="C7" t="s">
        <v>7</v>
      </c>
      <c r="D7" t="str" cm="1">
        <f t="array" aca="1" ref="D7" ca="1">INDEX(Hoja6!C$6:C$45,ROUND(RAND()*39,0)+1)</f>
        <v>Sergio</v>
      </c>
      <c r="E7" t="str" cm="1">
        <f t="array" aca="1" ref="E7" ca="1">INDEX(Hoja6!D$6:D$45,ROUND(RAND()*39,0)+1)</f>
        <v>Navarro</v>
      </c>
      <c r="F7" t="str" cm="1">
        <f t="array" aca="1" ref="F7" ca="1">INDEX(Tabla9[id_direccion],ROUND(RAND()*215,0)+1)</f>
        <v>R-ELA</v>
      </c>
    </row>
    <row r="8" spans="3:6" x14ac:dyDescent="0.25">
      <c r="C8" t="s">
        <v>525</v>
      </c>
      <c r="D8" t="str" cm="1">
        <f t="array" aca="1" ref="D8" ca="1">INDEX(Hoja6!C$6:C$45,ROUND(RAND()*39,0)+1)</f>
        <v>Raquel</v>
      </c>
      <c r="E8" t="str" cm="1">
        <f t="array" aca="1" ref="E8" ca="1">INDEX(Hoja6!D$6:D$45,ROUND(RAND()*39,0)+1)</f>
        <v>Romero</v>
      </c>
      <c r="F8" t="str" cm="1">
        <f t="array" aca="1" ref="F8" ca="1">INDEX(Tabla9[id_direccion],ROUND(RAND()*215,0)+1)</f>
        <v>E-ELA</v>
      </c>
    </row>
    <row r="9" spans="3:6" x14ac:dyDescent="0.25">
      <c r="C9" t="s">
        <v>186</v>
      </c>
      <c r="D9" t="str" cm="1">
        <f t="array" aca="1" ref="D9" ca="1">INDEX(Hoja6!C$6:C$45,ROUND(RAND()*39,0)+1)</f>
        <v>Raquel</v>
      </c>
      <c r="E9" t="str" cm="1">
        <f t="array" aca="1" ref="E9" ca="1">INDEX(Hoja6!D$6:D$45,ROUND(RAND()*39,0)+1)</f>
        <v>Rodríguez</v>
      </c>
      <c r="F9" t="str" cm="1">
        <f t="array" aca="1" ref="F9" ca="1">INDEX(Tabla9[id_direccion],ROUND(RAND()*215,0)+1)</f>
        <v>U-TIC</v>
      </c>
    </row>
    <row r="10" spans="3:6" x14ac:dyDescent="0.25">
      <c r="C10" t="s">
        <v>526</v>
      </c>
      <c r="D10" t="str" cm="1">
        <f t="array" aca="1" ref="D10" ca="1">INDEX(Hoja6!C$6:C$45,ROUND(RAND()*39,0)+1)</f>
        <v>Sofía</v>
      </c>
      <c r="E10" t="str" cm="1">
        <f t="array" aca="1" ref="E10" ca="1">INDEX(Hoja6!D$6:D$45,ROUND(RAND()*39,0)+1)</f>
        <v>Gómez</v>
      </c>
      <c r="F10" t="str" cm="1">
        <f t="array" aca="1" ref="F10" ca="1">INDEX(Tabla9[id_direccion],ROUND(RAND()*215,0)+1)</f>
        <v>A-ADE</v>
      </c>
    </row>
    <row r="11" spans="3:6" x14ac:dyDescent="0.25">
      <c r="C11" t="s">
        <v>527</v>
      </c>
      <c r="D11" t="str" cm="1">
        <f t="array" aca="1" ref="D11" ca="1">INDEX(Hoja6!C$6:C$45,ROUND(RAND()*39,0)+1)</f>
        <v>Laura</v>
      </c>
      <c r="E11" t="str" cm="1">
        <f t="array" aca="1" ref="E11" ca="1">INDEX(Hoja6!D$6:D$45,ROUND(RAND()*39,0)+1)</f>
        <v>Martínez</v>
      </c>
      <c r="F11" t="str" cm="1">
        <f t="array" aca="1" ref="F11" ca="1">INDEX(Tabla9[id_direccion],ROUND(RAND()*215,0)+1)</f>
        <v>I-DEL</v>
      </c>
    </row>
    <row r="12" spans="3:6" x14ac:dyDescent="0.25">
      <c r="C12" t="s">
        <v>528</v>
      </c>
      <c r="D12" t="str" cm="1">
        <f t="array" aca="1" ref="D12" ca="1">INDEX(Hoja6!C$6:C$45,ROUND(RAND()*39,0)+1)</f>
        <v>Paula</v>
      </c>
      <c r="E12" t="str" cm="1">
        <f t="array" aca="1" ref="E12" ca="1">INDEX(Hoja6!D$6:D$45,ROUND(RAND()*39,0)+1)</f>
        <v>Ruiz</v>
      </c>
      <c r="F12" t="str" cm="1">
        <f t="array" aca="1" ref="F12" ca="1">INDEX(Tabla9[id_direccion],ROUND(RAND()*215,0)+1)</f>
        <v>A-AVE</v>
      </c>
    </row>
    <row r="13" spans="3:6" x14ac:dyDescent="0.25">
      <c r="C13" t="s">
        <v>529</v>
      </c>
      <c r="D13" t="str" cm="1">
        <f t="array" aca="1" ref="D13" ca="1">INDEX(Hoja6!C$6:C$45,ROUND(RAND()*39,0)+1)</f>
        <v>Miguel</v>
      </c>
      <c r="E13" t="str" cm="1">
        <f t="array" aca="1" ref="E13" ca="1">INDEX(Hoja6!D$6:D$45,ROUND(RAND()*39,0)+1)</f>
        <v>Alonso</v>
      </c>
      <c r="F13" t="str" cm="1">
        <f t="array" aca="1" ref="F13" ca="1">INDEX(Tabla9[id_direccion],ROUND(RAND()*215,0)+1)</f>
        <v>P-DEL</v>
      </c>
    </row>
    <row r="14" spans="3:6" x14ac:dyDescent="0.25">
      <c r="C14" t="s">
        <v>530</v>
      </c>
      <c r="D14" t="str" cm="1">
        <f t="array" aca="1" ref="D14" ca="1">INDEX(Hoja6!C$6:C$45,ROUND(RAND()*39,0)+1)</f>
        <v>Paula</v>
      </c>
      <c r="E14" t="str" cm="1">
        <f t="array" aca="1" ref="E14" ca="1">INDEX(Hoja6!D$6:D$45,ROUND(RAND()*39,0)+1)</f>
        <v>Álvarez</v>
      </c>
      <c r="F14" t="str" cm="1">
        <f t="array" aca="1" ref="F14" ca="1">INDEX(Tabla9[id_direccion],ROUND(RAND()*215,0)+1)</f>
        <v>U-ADE</v>
      </c>
    </row>
    <row r="15" spans="3:6" x14ac:dyDescent="0.25">
      <c r="C15" t="s">
        <v>191</v>
      </c>
      <c r="D15" t="str" cm="1">
        <f t="array" aca="1" ref="D15" ca="1">INDEX(Hoja6!C$6:C$45,ROUND(RAND()*39,0)+1)</f>
        <v>Ana</v>
      </c>
      <c r="E15" t="str" cm="1">
        <f t="array" aca="1" ref="E15" ca="1">INDEX(Hoja6!D$6:D$45,ROUND(RAND()*39,0)+1)</f>
        <v>García</v>
      </c>
      <c r="F15" t="str" cm="1">
        <f t="array" aca="1" ref="F15" ca="1">INDEX(Tabla9[id_direccion],ROUND(RAND()*215,0)+1)</f>
        <v>M-LIN</v>
      </c>
    </row>
    <row r="16" spans="3:6" x14ac:dyDescent="0.25">
      <c r="C16" t="s">
        <v>531</v>
      </c>
      <c r="D16" t="str" cm="1">
        <f t="array" aca="1" ref="D16" ca="1">INDEX(Hoja6!C$6:C$45,ROUND(RAND()*39,0)+1)</f>
        <v>Marta</v>
      </c>
      <c r="E16" t="str" cm="1">
        <f t="array" aca="1" ref="E16" ca="1">INDEX(Hoja6!D$6:D$45,ROUND(RAND()*39,0)+1)</f>
        <v>Gómez</v>
      </c>
      <c r="F16" t="str" cm="1">
        <f t="array" aca="1" ref="F16" ca="1">INDEX(Tabla9[id_direccion],ROUND(RAND()*215,0)+1)</f>
        <v>S-ALL</v>
      </c>
    </row>
    <row r="17" spans="3:6" x14ac:dyDescent="0.25">
      <c r="C17" t="s">
        <v>532</v>
      </c>
      <c r="D17" t="str" cm="1">
        <f t="array" aca="1" ref="D17" ca="1">INDEX(Hoja6!C$6:C$45,ROUND(RAND()*39,0)+1)</f>
        <v>Sofía</v>
      </c>
      <c r="E17" t="str" cm="1">
        <f t="array" aca="1" ref="E17" ca="1">INDEX(Hoja6!D$6:D$45,ROUND(RAND()*39,0)+1)</f>
        <v>López</v>
      </c>
      <c r="F17" t="str" cm="1">
        <f t="array" aca="1" ref="F17" ca="1">INDEX(Tabla9[id_direccion],ROUND(RAND()*215,0)+1)</f>
        <v>L-ADE</v>
      </c>
    </row>
    <row r="18" spans="3:6" x14ac:dyDescent="0.25">
      <c r="C18" t="s">
        <v>533</v>
      </c>
      <c r="D18" t="str" cm="1">
        <f t="array" aca="1" ref="D18" ca="1">INDEX(Hoja6!C$6:C$45,ROUND(RAND()*39,0)+1)</f>
        <v>Laura</v>
      </c>
      <c r="E18" t="str" cm="1">
        <f t="array" aca="1" ref="E18" ca="1">INDEX(Hoja6!D$6:D$45,ROUND(RAND()*39,0)+1)</f>
        <v>González</v>
      </c>
      <c r="F18" t="str" cm="1">
        <f t="array" aca="1" ref="F18" ca="1">INDEX(Tabla9[id_direccion],ROUND(RAND()*215,0)+1)</f>
        <v>M-AD1</v>
      </c>
    </row>
    <row r="19" spans="3:6" x14ac:dyDescent="0.25">
      <c r="C19" t="s">
        <v>534</v>
      </c>
      <c r="D19" t="str" cm="1">
        <f t="array" aca="1" ref="D19" ca="1">INDEX(Hoja6!C$6:C$45,ROUND(RAND()*39,0)+1)</f>
        <v>Alejandro</v>
      </c>
      <c r="E19" t="str" cm="1">
        <f t="array" aca="1" ref="E19" ca="1">INDEX(Hoja6!D$6:D$45,ROUND(RAND()*39,0)+1)</f>
        <v>López</v>
      </c>
      <c r="F19" t="str" cm="1">
        <f t="array" aca="1" ref="F19" ca="1">INDEX(Tabla9[id_direccion],ROUND(RAND()*215,0)+1)</f>
        <v>G-NID</v>
      </c>
    </row>
    <row r="20" spans="3:6" x14ac:dyDescent="0.25">
      <c r="C20" t="s">
        <v>535</v>
      </c>
      <c r="D20" t="str" cm="1">
        <f t="array" aca="1" ref="D20" ca="1">INDEX(Hoja6!C$6:C$45,ROUND(RAND()*39,0)+1)</f>
        <v>Isabel</v>
      </c>
      <c r="E20" t="str" cm="1">
        <f t="array" aca="1" ref="E20" ca="1">INDEX(Hoja6!D$6:D$45,ROUND(RAND()*39,0)+1)</f>
        <v>Moreno</v>
      </c>
      <c r="F20" t="str" cm="1">
        <f t="array" aca="1" ref="F20" ca="1">INDEX(Tabla9[id_direccion],ROUND(RAND()*215,0)+1)</f>
        <v>H-CAL</v>
      </c>
    </row>
    <row r="21" spans="3:6" x14ac:dyDescent="0.25">
      <c r="C21" t="s">
        <v>536</v>
      </c>
      <c r="D21" t="str" cm="1">
        <f t="array" aca="1" ref="D21" ca="1">INDEX(Hoja6!C$6:C$45,ROUND(RAND()*39,0)+1)</f>
        <v>Carmen</v>
      </c>
      <c r="E21" t="str" cm="1">
        <f t="array" aca="1" ref="E21" ca="1">INDEX(Hoja6!D$6:D$45,ROUND(RAND()*39,0)+1)</f>
        <v>Gómez</v>
      </c>
      <c r="F21" t="str" cm="1">
        <f t="array" aca="1" ref="F21" ca="1">INDEX(Tabla9[id_direccion],ROUND(RAND()*215,0)+1)</f>
        <v>M-UST</v>
      </c>
    </row>
    <row r="22" spans="3:6" x14ac:dyDescent="0.25">
      <c r="C22" t="s">
        <v>537</v>
      </c>
      <c r="D22" t="str" cm="1">
        <f t="array" aca="1" ref="D22" ca="1">INDEX(Hoja6!C$6:C$45,ROUND(RAND()*39,0)+1)</f>
        <v>Jorge</v>
      </c>
      <c r="E22" t="str" cm="1">
        <f t="array" aca="1" ref="E22" ca="1">INDEX(Hoja6!D$6:D$45,ROUND(RAND()*39,0)+1)</f>
        <v>Rodríguez</v>
      </c>
      <c r="F22" t="str" cm="1">
        <f t="array" aca="1" ref="F22" ca="1">INDEX(Tabla9[id_direccion],ROUND(RAND()*215,0)+1)</f>
        <v>O-DEL</v>
      </c>
    </row>
    <row r="23" spans="3:6" x14ac:dyDescent="0.25">
      <c r="C23" t="s">
        <v>538</v>
      </c>
      <c r="D23" t="str" cm="1">
        <f t="array" aca="1" ref="D23" ca="1">INDEX(Hoja6!C$6:C$45,ROUND(RAND()*39,0)+1)</f>
        <v>Raquel</v>
      </c>
      <c r="E23" t="str" cm="1">
        <f t="array" aca="1" ref="E23" ca="1">INDEX(Hoja6!D$6:D$45,ROUND(RAND()*39,0)+1)</f>
        <v>Torres</v>
      </c>
      <c r="F23" t="str" cm="1">
        <f t="array" aca="1" ref="F23" ca="1">INDEX(Tabla9[id_direccion],ROUND(RAND()*215,0)+1)</f>
        <v>I-LED</v>
      </c>
    </row>
    <row r="24" spans="3:6" x14ac:dyDescent="0.25">
      <c r="C24" t="s">
        <v>539</v>
      </c>
      <c r="D24" t="str" cm="1">
        <f t="array" aca="1" ref="D24" ca="1">INDEX(Hoja6!C$6:C$45,ROUND(RAND()*39,0)+1)</f>
        <v>Alejandro</v>
      </c>
      <c r="E24" t="str" cm="1">
        <f t="array" aca="1" ref="E24" ca="1">INDEX(Hoja6!D$6:D$45,ROUND(RAND()*39,0)+1)</f>
        <v>Pérez</v>
      </c>
      <c r="F24" t="str" cm="1">
        <f t="array" aca="1" ref="F24" ca="1">INDEX(Tabla9[id_direccion],ROUND(RAND()*215,0)+1)</f>
        <v>R-TIC</v>
      </c>
    </row>
    <row r="25" spans="3:6" x14ac:dyDescent="0.25">
      <c r="C25" t="s">
        <v>540</v>
      </c>
      <c r="D25" t="str" cm="1">
        <f t="array" aca="1" ref="D25" ca="1">INDEX(Hoja6!C$6:C$45,ROUND(RAND()*39,0)+1)</f>
        <v>Raquel</v>
      </c>
      <c r="E25" t="str" cm="1">
        <f t="array" aca="1" ref="E25" ca="1">INDEX(Hoja6!D$6:D$45,ROUND(RAND()*39,0)+1)</f>
        <v>Sánchez</v>
      </c>
      <c r="F25" t="str" cm="1">
        <f t="array" aca="1" ref="F25" ca="1">INDEX(Tabla9[id_direccion],ROUND(RAND()*215,0)+1)</f>
        <v>G-ÑO1</v>
      </c>
    </row>
    <row r="26" spans="3:6" x14ac:dyDescent="0.25">
      <c r="C26" t="s">
        <v>541</v>
      </c>
      <c r="D26" t="str" cm="1">
        <f t="array" aca="1" ref="D26" ca="1">INDEX(Hoja6!C$6:C$45,ROUND(RAND()*39,0)+1)</f>
        <v>Sofía</v>
      </c>
      <c r="E26" t="str" cm="1">
        <f t="array" aca="1" ref="E26" ca="1">INDEX(Hoja6!D$6:D$45,ROUND(RAND()*39,0)+1)</f>
        <v>Pérez</v>
      </c>
      <c r="F26" t="str" cm="1">
        <f t="array" aca="1" ref="F26" ca="1">INDEX(Tabla9[id_direccion],ROUND(RAND()*215,0)+1)</f>
        <v>L-ADE</v>
      </c>
    </row>
    <row r="27" spans="3:6" x14ac:dyDescent="0.25">
      <c r="C27" t="s">
        <v>542</v>
      </c>
      <c r="D27" t="str" cm="1">
        <f t="array" aca="1" ref="D27" ca="1">INDEX(Hoja6!C$6:C$45,ROUND(RAND()*39,0)+1)</f>
        <v>Jorge</v>
      </c>
      <c r="E27" t="str" cm="1">
        <f t="array" aca="1" ref="E27" ca="1">INDEX(Hoja6!D$6:D$45,ROUND(RAND()*39,0)+1)</f>
        <v>Navarro</v>
      </c>
      <c r="F27" t="str" cm="1">
        <f t="array" aca="1" ref="F27" ca="1">INDEX(Tabla9[id_direccion],ROUND(RAND()*215,0)+1)</f>
        <v>E-ELA</v>
      </c>
    </row>
    <row r="28" spans="3:6" x14ac:dyDescent="0.25">
      <c r="C28" t="s">
        <v>543</v>
      </c>
      <c r="D28" t="str" cm="1">
        <f t="array" aca="1" ref="D28" ca="1">INDEX(Hoja6!C$6:C$45,ROUND(RAND()*39,0)+1)</f>
        <v>Carmen</v>
      </c>
      <c r="E28" t="str" cm="1">
        <f t="array" aca="1" ref="E28" ca="1">INDEX(Hoja6!D$6:D$45,ROUND(RAND()*39,0)+1)</f>
        <v>Ruiz</v>
      </c>
      <c r="F28" t="str" cm="1">
        <f t="array" aca="1" ref="F28" ca="1">INDEX(Tabla9[id_direccion],ROUND(RAND()*215,0)+1)</f>
        <v>U-DÓN</v>
      </c>
    </row>
    <row r="29" spans="3:6" x14ac:dyDescent="0.25">
      <c r="C29" t="s">
        <v>544</v>
      </c>
      <c r="D29" t="str" cm="1">
        <f t="array" aca="1" ref="D29" ca="1">INDEX(Hoja6!C$6:C$45,ROUND(RAND()*39,0)+1)</f>
        <v>Jorge</v>
      </c>
      <c r="E29" t="str" cm="1">
        <f t="array" aca="1" ref="E29" ca="1">INDEX(Hoja6!D$6:D$45,ROUND(RAND()*39,0)+1)</f>
        <v>Navarro</v>
      </c>
      <c r="F29" t="str" cm="1">
        <f t="array" aca="1" ref="F29" ca="1">INDEX(Tabla9[id_direccion],ROUND(RAND()*215,0)+1)</f>
        <v>A-E18</v>
      </c>
    </row>
    <row r="30" spans="3:6" x14ac:dyDescent="0.25">
      <c r="C30" t="s">
        <v>545</v>
      </c>
      <c r="D30" t="str" cm="1">
        <f t="array" aca="1" ref="D30" ca="1">INDEX(Hoja6!C$6:C$45,ROUND(RAND()*39,0)+1)</f>
        <v>Alejandro</v>
      </c>
      <c r="E30" t="str" cm="1">
        <f t="array" aca="1" ref="E30" ca="1">INDEX(Hoja6!D$6:D$45,ROUND(RAND()*39,0)+1)</f>
        <v>Alonso</v>
      </c>
      <c r="F30" t="str" cm="1">
        <f t="array" aca="1" ref="F30" ca="1">INDEX(Tabla9[id_direccion],ROUND(RAND()*215,0)+1)</f>
        <v>A-LED</v>
      </c>
    </row>
    <row r="31" spans="3:6" x14ac:dyDescent="0.25">
      <c r="C31" t="s">
        <v>546</v>
      </c>
      <c r="D31" t="str" cm="1">
        <f t="array" aca="1" ref="D31" ca="1">INDEX(Hoja6!C$6:C$45,ROUND(RAND()*39,0)+1)</f>
        <v>Miguel</v>
      </c>
      <c r="E31" t="str" cm="1">
        <f t="array" aca="1" ref="E31" ca="1">INDEX(Hoja6!D$6:D$45,ROUND(RAND()*39,0)+1)</f>
        <v>Díaz</v>
      </c>
      <c r="F31" t="str" cm="1">
        <f t="array" aca="1" ref="F31" ca="1">INDEX(Tabla9[id_direccion],ROUND(RAND()*215,0)+1)</f>
        <v>L-DAD</v>
      </c>
    </row>
    <row r="32" spans="3:6" x14ac:dyDescent="0.25">
      <c r="C32" t="s">
        <v>547</v>
      </c>
      <c r="D32" t="str" cm="1">
        <f t="array" aca="1" ref="D32" ca="1">INDEX(Hoja6!C$6:C$45,ROUND(RAND()*39,0)+1)</f>
        <v>Álvaro</v>
      </c>
      <c r="E32" t="str" cm="1">
        <f t="array" aca="1" ref="E32" ca="1">INDEX(Hoja6!D$6:D$45,ROUND(RAND()*39,0)+1)</f>
        <v>Díaz</v>
      </c>
      <c r="F32" t="str" cm="1">
        <f t="array" aca="1" ref="F32" ca="1">INDEX(Tabla9[id_direccion],ROUND(RAND()*215,0)+1)</f>
        <v>E-LLE</v>
      </c>
    </row>
    <row r="33" spans="3:6" x14ac:dyDescent="0.25">
      <c r="C33" t="s">
        <v>548</v>
      </c>
      <c r="D33" t="str" cm="1">
        <f t="array" aca="1" ref="D33" ca="1">INDEX(Hoja6!C$6:C$45,ROUND(RAND()*39,0)+1)</f>
        <v>Sofía</v>
      </c>
      <c r="E33" t="str" cm="1">
        <f t="array" aca="1" ref="E33" ca="1">INDEX(Hoja6!D$6:D$45,ROUND(RAND()*39,0)+1)</f>
        <v>Jiménez</v>
      </c>
      <c r="F33" t="str" cm="1">
        <f t="array" aca="1" ref="F33" ca="1">INDEX(Tabla9[id_direccion],ROUND(RAND()*215,0)+1)</f>
        <v>M-ÑA2</v>
      </c>
    </row>
    <row r="34" spans="3:6" x14ac:dyDescent="0.25">
      <c r="C34" t="s">
        <v>549</v>
      </c>
      <c r="D34" t="str" cm="1">
        <f t="array" aca="1" ref="D34" ca="1">INDEX(Hoja6!C$6:C$45,ROUND(RAND()*39,0)+1)</f>
        <v>Natalia</v>
      </c>
      <c r="E34" t="str" cm="1">
        <f t="array" aca="1" ref="E34" ca="1">INDEX(Hoja6!D$6:D$45,ROUND(RAND()*39,0)+1)</f>
        <v>González</v>
      </c>
      <c r="F34" t="str" cm="1">
        <f t="array" aca="1" ref="F34" ca="1">INDEX(Tabla9[id_direccion],ROUND(RAND()*215,0)+1)</f>
        <v>R-ADE</v>
      </c>
    </row>
    <row r="35" spans="3:6" x14ac:dyDescent="0.25">
      <c r="C35" t="s">
        <v>550</v>
      </c>
      <c r="D35" t="str" cm="1">
        <f t="array" aca="1" ref="D35" ca="1">INDEX(Hoja6!C$6:C$45,ROUND(RAND()*39,0)+1)</f>
        <v>David</v>
      </c>
      <c r="E35" t="str" cm="1">
        <f t="array" aca="1" ref="E35" ca="1">INDEX(Hoja6!D$6:D$45,ROUND(RAND()*39,0)+1)</f>
        <v>González</v>
      </c>
      <c r="F35" t="str" cm="1">
        <f t="array" aca="1" ref="F35" ca="1">INDEX(Tabla9[id_direccion],ROUND(RAND()*215,0)+1)</f>
        <v>S-EDE</v>
      </c>
    </row>
    <row r="36" spans="3:6" x14ac:dyDescent="0.25">
      <c r="C36" t="s">
        <v>551</v>
      </c>
      <c r="D36" t="str" cm="1">
        <f t="array" aca="1" ref="D36" ca="1">INDEX(Hoja6!C$6:C$45,ROUND(RAND()*39,0)+1)</f>
        <v>Juan</v>
      </c>
      <c r="E36" t="str" cm="1">
        <f t="array" aca="1" ref="E36" ca="1">INDEX(Hoja6!D$6:D$45,ROUND(RAND()*39,0)+1)</f>
        <v>Fernández</v>
      </c>
      <c r="F36" t="str" cm="1">
        <f t="array" aca="1" ref="F36" ca="1">INDEX(Tabla9[id_direccion],ROUND(RAND()*215,0)+1)</f>
        <v>A-DEL</v>
      </c>
    </row>
    <row r="37" spans="3:6" x14ac:dyDescent="0.25">
      <c r="C37" t="s">
        <v>552</v>
      </c>
      <c r="D37" t="str" cm="1">
        <f t="array" aca="1" ref="D37" ca="1">INDEX(Hoja6!C$6:C$45,ROUND(RAND()*39,0)+1)</f>
        <v>David</v>
      </c>
      <c r="E37" t="str" cm="1">
        <f t="array" aca="1" ref="E37" ca="1">INDEX(Hoja6!D$6:D$45,ROUND(RAND()*39,0)+1)</f>
        <v>Fernández</v>
      </c>
      <c r="F37" t="str" cm="1">
        <f t="array" aca="1" ref="F37" ca="1">INDEX(Tabla9[id_direccion],ROUND(RAND()*215,0)+1)</f>
        <v>O-DEL</v>
      </c>
    </row>
    <row r="38" spans="3:6" x14ac:dyDescent="0.25">
      <c r="C38" t="s">
        <v>553</v>
      </c>
      <c r="D38" t="str" cm="1">
        <f t="array" aca="1" ref="D38" ca="1">INDEX(Hoja6!C$6:C$45,ROUND(RAND()*39,0)+1)</f>
        <v>Alejandro</v>
      </c>
      <c r="E38" t="str" cm="1">
        <f t="array" aca="1" ref="E38" ca="1">INDEX(Hoja6!D$6:D$45,ROUND(RAND()*39,0)+1)</f>
        <v>Díaz</v>
      </c>
      <c r="F38" t="str" cm="1">
        <f t="array" aca="1" ref="F38" ca="1">INDEX(Tabla9[id_direccion],ROUND(RAND()*215,0)+1)</f>
        <v>O-AÑA</v>
      </c>
    </row>
    <row r="39" spans="3:6" x14ac:dyDescent="0.25">
      <c r="C39" t="s">
        <v>554</v>
      </c>
      <c r="D39" t="str" cm="1">
        <f t="array" aca="1" ref="D39" ca="1">INDEX(Hoja6!C$6:C$45,ROUND(RAND()*39,0)+1)</f>
        <v>Lucía</v>
      </c>
      <c r="E39" t="str" cm="1">
        <f t="array" aca="1" ref="E39" ca="1">INDEX(Hoja6!D$6:D$45,ROUND(RAND()*39,0)+1)</f>
        <v>Álvarez</v>
      </c>
      <c r="F39" t="str" cm="1">
        <f t="array" aca="1" ref="F39" ca="1">INDEX(Tabla9[id_direccion],ROUND(RAND()*215,0)+1)</f>
        <v>L-NID</v>
      </c>
    </row>
    <row r="40" spans="3:6" x14ac:dyDescent="0.25">
      <c r="C40" t="s">
        <v>555</v>
      </c>
      <c r="D40" t="str" cm="1">
        <f t="array" aca="1" ref="D40" ca="1">INDEX(Hoja6!C$6:C$45,ROUND(RAND()*39,0)+1)</f>
        <v>Lucía</v>
      </c>
      <c r="E40" t="str" cm="1">
        <f t="array" aca="1" ref="E40" ca="1">INDEX(Hoja6!D$6:D$45,ROUND(RAND()*39,0)+1)</f>
        <v>Alonso</v>
      </c>
      <c r="F40" t="str" cm="1">
        <f t="array" aca="1" ref="F40" ca="1">INDEX(Tabla9[id_direccion],ROUND(RAND()*215,0)+1)</f>
        <v>J-ELA</v>
      </c>
    </row>
    <row r="41" spans="3:6" x14ac:dyDescent="0.25">
      <c r="C41" t="s">
        <v>556</v>
      </c>
      <c r="D41" t="str" cm="1">
        <f t="array" aca="1" ref="D41" ca="1">INDEX(Hoja6!C$6:C$45,ROUND(RAND()*39,0)+1)</f>
        <v>Laura</v>
      </c>
      <c r="E41" t="str" cm="1">
        <f t="array" aca="1" ref="E41" ca="1">INDEX(Hoja6!D$6:D$45,ROUND(RAND()*39,0)+1)</f>
        <v>Moreno</v>
      </c>
      <c r="F41" t="str" cm="1">
        <f t="array" aca="1" ref="F41" ca="1">INDEX(Tabla9[id_direccion],ROUND(RAND()*215,0)+1)</f>
        <v>J-OR2</v>
      </c>
    </row>
    <row r="42" spans="3:6" x14ac:dyDescent="0.25">
      <c r="C42" t="s">
        <v>557</v>
      </c>
      <c r="D42" t="str" cm="1">
        <f t="array" aca="1" ref="D42" ca="1">INDEX(Hoja6!C$6:C$45,ROUND(RAND()*39,0)+1)</f>
        <v>Raquel</v>
      </c>
      <c r="E42" t="str" cm="1">
        <f t="array" aca="1" ref="E42" ca="1">INDEX(Hoja6!D$6:D$45,ROUND(RAND()*39,0)+1)</f>
        <v>Muñoz</v>
      </c>
      <c r="F42" t="str" cm="1">
        <f t="array" aca="1" ref="F42" ca="1">INDEX(Tabla9[id_direccion],ROUND(RAND()*215,0)+1)</f>
        <v>O-LIN</v>
      </c>
    </row>
    <row r="43" spans="3:6" x14ac:dyDescent="0.25">
      <c r="C43" t="s">
        <v>558</v>
      </c>
      <c r="D43" t="str" cm="1">
        <f t="array" aca="1" ref="D43" ca="1">INDEX(Hoja6!C$6:C$45,ROUND(RAND()*39,0)+1)</f>
        <v>Sofía</v>
      </c>
      <c r="E43" t="str" cm="1">
        <f t="array" aca="1" ref="E43" ca="1">INDEX(Hoja6!D$6:D$45,ROUND(RAND()*39,0)+1)</f>
        <v>Jiménez</v>
      </c>
      <c r="F43" t="str" cm="1">
        <f t="array" aca="1" ref="F43" ca="1">INDEX(Tabla9[id_direccion],ROUND(RAND()*215,0)+1)</f>
        <v>E-FEL</v>
      </c>
    </row>
    <row r="44" spans="3:6" x14ac:dyDescent="0.25">
      <c r="C44" t="s">
        <v>559</v>
      </c>
      <c r="D44" t="str" cm="1">
        <f t="array" aca="1" ref="D44" ca="1">INDEX(Hoja6!C$6:C$45,ROUND(RAND()*39,0)+1)</f>
        <v>Laura</v>
      </c>
      <c r="E44" t="str" cm="1">
        <f t="array" aca="1" ref="E44" ca="1">INDEX(Hoja6!D$6:D$45,ROUND(RAND()*39,0)+1)</f>
        <v>Torres</v>
      </c>
      <c r="F44" t="str" cm="1">
        <f t="array" aca="1" ref="F44" ca="1">INDEX(Tabla9[id_direccion],ROUND(RAND()*215,0)+1)</f>
        <v>A-LAA</v>
      </c>
    </row>
    <row r="45" spans="3:6" x14ac:dyDescent="0.25">
      <c r="C45" t="s">
        <v>560</v>
      </c>
      <c r="D45" t="str" cm="1">
        <f t="array" aca="1" ref="D45" ca="1">INDEX(Hoja6!C$6:C$45,ROUND(RAND()*39,0)+1)</f>
        <v>Carmen</v>
      </c>
      <c r="E45" t="str" cm="1">
        <f t="array" aca="1" ref="E45" ca="1">INDEX(Hoja6!D$6:D$45,ROUND(RAND()*39,0)+1)</f>
        <v>Hernández</v>
      </c>
      <c r="F45" t="str" cm="1">
        <f t="array" aca="1" ref="F45" ca="1">INDEX(Tabla9[id_direccion],ROUND(RAND()*215,0)+1)</f>
        <v>E-IDA</v>
      </c>
    </row>
    <row r="46" spans="3:6" x14ac:dyDescent="0.25">
      <c r="C46" t="s">
        <v>561</v>
      </c>
      <c r="D46" t="str" cm="1">
        <f t="array" aca="1" ref="D46" ca="1">INDEX(Hoja6!C$6:C$45,ROUND(RAND()*39,0)+1)</f>
        <v>Pedro</v>
      </c>
      <c r="E46" t="str" cm="1">
        <f t="array" aca="1" ref="E46" ca="1">INDEX(Hoja6!D$6:D$45,ROUND(RAND()*39,0)+1)</f>
        <v>Ruiz</v>
      </c>
      <c r="F46" t="str" cm="1">
        <f t="array" aca="1" ref="F46" ca="1">INDEX(Tabla9[id_direccion],ROUND(RAND()*215,0)+1)</f>
        <v>A-LED</v>
      </c>
    </row>
    <row r="47" spans="3:6" x14ac:dyDescent="0.25">
      <c r="C47" t="s">
        <v>196</v>
      </c>
      <c r="D47" t="str" cm="1">
        <f t="array" aca="1" ref="D47" ca="1">INDEX(Hoja6!C$6:C$45,ROUND(RAND()*39,0)+1)</f>
        <v>Laura</v>
      </c>
      <c r="E47" t="str" cm="1">
        <f t="array" aca="1" ref="E47" ca="1">INDEX(Hoja6!D$6:D$45,ROUND(RAND()*39,0)+1)</f>
        <v>Hernández</v>
      </c>
      <c r="F47" t="str" cm="1">
        <f t="array" aca="1" ref="F47" ca="1">INDEX(Tabla9[id_direccion],ROUND(RAND()*215,0)+1)</f>
        <v>D-NTO</v>
      </c>
    </row>
    <row r="48" spans="3:6" x14ac:dyDescent="0.25">
      <c r="C48" t="s">
        <v>562</v>
      </c>
      <c r="D48" t="str" cm="1">
        <f t="array" aca="1" ref="D48" ca="1">INDEX(Hoja6!C$6:C$45,ROUND(RAND()*39,0)+1)</f>
        <v>Sofía</v>
      </c>
      <c r="E48" t="str" cm="1">
        <f t="array" aca="1" ref="E48" ca="1">INDEX(Hoja6!D$6:D$45,ROUND(RAND()*39,0)+1)</f>
        <v>Ruiz</v>
      </c>
      <c r="F48" t="str" cm="1">
        <f t="array" aca="1" ref="F48" ca="1">INDEX(Tabla9[id_direccion],ROUND(RAND()*215,0)+1)</f>
        <v>C-DAD</v>
      </c>
    </row>
    <row r="49" spans="3:6" x14ac:dyDescent="0.25">
      <c r="C49" t="s">
        <v>563</v>
      </c>
      <c r="D49" t="str" cm="1">
        <f t="array" aca="1" ref="D49" ca="1">INDEX(Hoja6!C$6:C$45,ROUND(RAND()*39,0)+1)</f>
        <v>Paula</v>
      </c>
      <c r="E49" t="str" cm="1">
        <f t="array" aca="1" ref="E49" ca="1">INDEX(Hoja6!D$6:D$45,ROUND(RAND()*39,0)+1)</f>
        <v>Rodríguez</v>
      </c>
      <c r="F49" t="str" cm="1">
        <f t="array" aca="1" ref="F49" ca="1">INDEX(Tabla9[id_direccion],ROUND(RAND()*215,0)+1)</f>
        <v>L-LCO</v>
      </c>
    </row>
    <row r="50" spans="3:6" x14ac:dyDescent="0.25">
      <c r="C50" t="s">
        <v>199</v>
      </c>
      <c r="D50" t="str" cm="1">
        <f t="array" aca="1" ref="D50" ca="1">INDEX(Hoja6!C$6:C$45,ROUND(RAND()*39,0)+1)</f>
        <v>Carmen</v>
      </c>
      <c r="E50" t="str" cm="1">
        <f t="array" aca="1" ref="E50" ca="1">INDEX(Hoja6!D$6:D$45,ROUND(RAND()*39,0)+1)</f>
        <v>Romero</v>
      </c>
      <c r="F50" t="str" cm="1">
        <f t="array" aca="1" ref="F50" ca="1">INDEX(Tabla9[id_direccion],ROUND(RAND()*215,0)+1)</f>
        <v>I-DEL</v>
      </c>
    </row>
    <row r="51" spans="3:6" x14ac:dyDescent="0.25">
      <c r="C51" t="s">
        <v>564</v>
      </c>
      <c r="D51" t="str" cm="1">
        <f t="array" aca="1" ref="D51" ca="1">INDEX(Hoja6!C$6:C$45,ROUND(RAND()*39,0)+1)</f>
        <v>Lucía</v>
      </c>
      <c r="E51" t="str" cm="1">
        <f t="array" aca="1" ref="E51" ca="1">INDEX(Hoja6!D$6:D$45,ROUND(RAND()*39,0)+1)</f>
        <v>Romero</v>
      </c>
      <c r="F51" t="str" cm="1">
        <f t="array" aca="1" ref="F51" ca="1">INDEX(Tabla9[id_direccion],ROUND(RAND()*215,0)+1)</f>
        <v>M-UST</v>
      </c>
    </row>
    <row r="52" spans="3:6" x14ac:dyDescent="0.25">
      <c r="C52" t="s">
        <v>565</v>
      </c>
      <c r="D52" t="str" cm="1">
        <f t="array" aca="1" ref="D52" ca="1">INDEX(Hoja6!C$6:C$45,ROUND(RAND()*39,0)+1)</f>
        <v>Juan</v>
      </c>
      <c r="E52" t="str" cm="1">
        <f t="array" aca="1" ref="E52" ca="1">INDEX(Hoja6!D$6:D$45,ROUND(RAND()*39,0)+1)</f>
        <v>Martínez</v>
      </c>
      <c r="F52" t="str" cm="1">
        <f t="array" aca="1" ref="F52" ca="1">INDEX(Tabla9[id_direccion],ROUND(RAND()*215,0)+1)</f>
        <v>I-CAL</v>
      </c>
    </row>
    <row r="53" spans="3:6" x14ac:dyDescent="0.25">
      <c r="C53" t="s">
        <v>202</v>
      </c>
      <c r="D53" t="str" cm="1">
        <f t="array" aca="1" ref="D53" ca="1">INDEX(Hoja6!C$6:C$45,ROUND(RAND()*39,0)+1)</f>
        <v>Natalia</v>
      </c>
      <c r="E53" t="str" cm="1">
        <f t="array" aca="1" ref="E53" ca="1">INDEX(Hoja6!D$6:D$45,ROUND(RAND()*39,0)+1)</f>
        <v>Álvarez</v>
      </c>
      <c r="F53" t="str" cm="1">
        <f t="array" aca="1" ref="F53" ca="1">INDEX(Tabla9[id_direccion],ROUND(RAND()*215,0)+1)</f>
        <v>I-LAA</v>
      </c>
    </row>
    <row r="54" spans="3:6" x14ac:dyDescent="0.25">
      <c r="C54" t="s">
        <v>566</v>
      </c>
      <c r="D54" t="str" cm="1">
        <f t="array" aca="1" ref="D54" ca="1">INDEX(Hoja6!C$6:C$45,ROUND(RAND()*39,0)+1)</f>
        <v>Pedro</v>
      </c>
      <c r="E54" t="str" cm="1">
        <f t="array" aca="1" ref="E54" ca="1">INDEX(Hoja6!D$6:D$45,ROUND(RAND()*39,0)+1)</f>
        <v>Sánchez</v>
      </c>
      <c r="F54" t="str" cm="1">
        <f t="array" aca="1" ref="F54" ca="1">INDEX(Tabla9[id_direccion],ROUND(RAND()*215,0)+1)</f>
        <v>O-ADE</v>
      </c>
    </row>
    <row r="55" spans="3:6" x14ac:dyDescent="0.25">
      <c r="C55" t="s">
        <v>567</v>
      </c>
      <c r="D55" t="str" cm="1">
        <f t="array" aca="1" ref="D55" ca="1">INDEX(Hoja6!C$6:C$45,ROUND(RAND()*39,0)+1)</f>
        <v>Laura</v>
      </c>
      <c r="E55" t="str" cm="1">
        <f t="array" aca="1" ref="E55" ca="1">INDEX(Hoja6!D$6:D$45,ROUND(RAND()*39,0)+1)</f>
        <v>Rodríguez</v>
      </c>
      <c r="F55" t="str" cm="1">
        <f t="array" aca="1" ref="F55" ca="1">INDEX(Tabla9[id_direccion],ROUND(RAND()*215,0)+1)</f>
        <v>R-ELA</v>
      </c>
    </row>
    <row r="56" spans="3:6" x14ac:dyDescent="0.25">
      <c r="C56" t="s">
        <v>568</v>
      </c>
      <c r="D56" t="str" cm="1">
        <f t="array" aca="1" ref="D56" ca="1">INDEX(Hoja6!C$6:C$45,ROUND(RAND()*39,0)+1)</f>
        <v>Juan</v>
      </c>
      <c r="E56" t="str" cm="1">
        <f t="array" aca="1" ref="E56" ca="1">INDEX(Hoja6!D$6:D$45,ROUND(RAND()*39,0)+1)</f>
        <v>Sánchez</v>
      </c>
      <c r="F56" t="str" cm="1">
        <f t="array" aca="1" ref="F56" ca="1">INDEX(Tabla9[id_direccion],ROUND(RAND()*215,0)+1)</f>
        <v>O-CAL</v>
      </c>
    </row>
    <row r="57" spans="3:6" x14ac:dyDescent="0.25">
      <c r="C57" t="s">
        <v>569</v>
      </c>
      <c r="D57" t="str" cm="1">
        <f t="array" aca="1" ref="D57" ca="1">INDEX(Hoja6!C$6:C$45,ROUND(RAND()*39,0)+1)</f>
        <v>Juan</v>
      </c>
      <c r="E57" t="str" cm="1">
        <f t="array" aca="1" ref="E57" ca="1">INDEX(Hoja6!D$6:D$45,ROUND(RAND()*39,0)+1)</f>
        <v>Muñoz</v>
      </c>
      <c r="F57" t="str" cm="1">
        <f t="array" aca="1" ref="F57" ca="1">INDEX(Tabla9[id_direccion],ROUND(RAND()*215,0)+1)</f>
        <v>A-DAD</v>
      </c>
    </row>
    <row r="58" spans="3:6" x14ac:dyDescent="0.25">
      <c r="C58" t="s">
        <v>570</v>
      </c>
      <c r="D58" t="str" cm="1">
        <f t="array" aca="1" ref="D58" ca="1">INDEX(Hoja6!C$6:C$45,ROUND(RAND()*39,0)+1)</f>
        <v>Francisco</v>
      </c>
      <c r="E58" t="str" cm="1">
        <f t="array" aca="1" ref="E58" ca="1">INDEX(Hoja6!D$6:D$45,ROUND(RAND()*39,0)+1)</f>
        <v>Jiménez</v>
      </c>
      <c r="F58" t="str" cm="1">
        <f t="array" aca="1" ref="F58" ca="1">INDEX(Tabla9[id_direccion],ROUND(RAND()*215,0)+1)</f>
        <v>B-ATI</v>
      </c>
    </row>
    <row r="59" spans="3:6" x14ac:dyDescent="0.25">
      <c r="C59" t="s">
        <v>571</v>
      </c>
      <c r="D59" t="str" cm="1">
        <f t="array" aca="1" ref="D59" ca="1">INDEX(Hoja6!C$6:C$45,ROUND(RAND()*39,0)+1)</f>
        <v>Laura</v>
      </c>
      <c r="E59" t="str" cm="1">
        <f t="array" aca="1" ref="E59" ca="1">INDEX(Hoja6!D$6:D$45,ROUND(RAND()*39,0)+1)</f>
        <v>Álvarez</v>
      </c>
      <c r="F59" t="str" cm="1">
        <f t="array" aca="1" ref="F59" ca="1">INDEX(Tabla9[id_direccion],ROUND(RAND()*215,0)+1)</f>
        <v>L-DEL</v>
      </c>
    </row>
    <row r="60" spans="3:6" x14ac:dyDescent="0.25">
      <c r="C60" t="s">
        <v>572</v>
      </c>
      <c r="D60" t="str" cm="1">
        <f t="array" aca="1" ref="D60" ca="1">INDEX(Hoja6!C$6:C$45,ROUND(RAND()*39,0)+1)</f>
        <v>Carlos</v>
      </c>
      <c r="E60" t="str" cm="1">
        <f t="array" aca="1" ref="E60" ca="1">INDEX(Hoja6!D$6:D$45,ROUND(RAND()*39,0)+1)</f>
        <v>Gómez</v>
      </c>
      <c r="F60" t="str" cm="1">
        <f t="array" aca="1" ref="F60" ca="1">INDEX(Tabla9[id_direccion],ROUND(RAND()*215,0)+1)</f>
        <v>E-DEL</v>
      </c>
    </row>
    <row r="61" spans="3:6" x14ac:dyDescent="0.25">
      <c r="C61" t="s">
        <v>573</v>
      </c>
      <c r="D61" t="str" cm="1">
        <f t="array" aca="1" ref="D61" ca="1">INDEX(Hoja6!C$6:C$45,ROUND(RAND()*39,0)+1)</f>
        <v>Sofía</v>
      </c>
      <c r="E61" t="str" cm="1">
        <f t="array" aca="1" ref="E61" ca="1">INDEX(Hoja6!D$6:D$45,ROUND(RAND()*39,0)+1)</f>
        <v>Martínez</v>
      </c>
      <c r="F61" t="str" cm="1">
        <f t="array" aca="1" ref="F61" ca="1">INDEX(Tabla9[id_direccion],ROUND(RAND()*215,0)+1)</f>
        <v>J-FEL</v>
      </c>
    </row>
    <row r="62" spans="3:6" x14ac:dyDescent="0.25">
      <c r="C62" t="s">
        <v>187</v>
      </c>
      <c r="D62" t="str" cm="1">
        <f t="array" aca="1" ref="D62" ca="1">INDEX(Hoja6!C$6:C$45,ROUND(RAND()*39,0)+1)</f>
        <v>Álvaro</v>
      </c>
      <c r="E62" t="str" cm="1">
        <f t="array" aca="1" ref="E62" ca="1">INDEX(Hoja6!D$6:D$45,ROUND(RAND()*39,0)+1)</f>
        <v>Rodríguez</v>
      </c>
      <c r="F62" t="str" cm="1">
        <f t="array" aca="1" ref="F62" ca="1">INDEX(Tabla9[id_direccion],ROUND(RAND()*215,0)+1)</f>
        <v>A-ALL</v>
      </c>
    </row>
    <row r="63" spans="3:6" x14ac:dyDescent="0.25">
      <c r="C63" t="s">
        <v>574</v>
      </c>
      <c r="D63" t="str" cm="1">
        <f t="array" aca="1" ref="D63" ca="1">INDEX(Hoja6!C$6:C$45,ROUND(RAND()*39,0)+1)</f>
        <v>Álvaro</v>
      </c>
      <c r="E63" t="str" cm="1">
        <f t="array" aca="1" ref="E63" ca="1">INDEX(Hoja6!D$6:D$45,ROUND(RAND()*39,0)+1)</f>
        <v>Muñoz</v>
      </c>
      <c r="F63" t="str" cm="1">
        <f t="array" aca="1" ref="F63" ca="1">INDEX(Tabla9[id_direccion],ROUND(RAND()*215,0)+1)</f>
        <v>O-LLE</v>
      </c>
    </row>
    <row r="64" spans="3:6" x14ac:dyDescent="0.25">
      <c r="C64" t="s">
        <v>575</v>
      </c>
      <c r="D64" t="str" cm="1">
        <f t="array" aca="1" ref="D64" ca="1">INDEX(Hoja6!C$6:C$45,ROUND(RAND()*39,0)+1)</f>
        <v>Paula</v>
      </c>
      <c r="E64" t="str" cm="1">
        <f t="array" aca="1" ref="E64" ca="1">INDEX(Hoja6!D$6:D$45,ROUND(RAND()*39,0)+1)</f>
        <v>Jiménez</v>
      </c>
      <c r="F64" t="str" cm="1">
        <f t="array" aca="1" ref="F64" ca="1">INDEX(Tabla9[id_direccion],ROUND(RAND()*215,0)+1)</f>
        <v>J-OR2</v>
      </c>
    </row>
    <row r="65" spans="3:6" x14ac:dyDescent="0.25">
      <c r="C65" t="s">
        <v>576</v>
      </c>
      <c r="D65" t="str" cm="1">
        <f t="array" aca="1" ref="D65" ca="1">INDEX(Hoja6!C$6:C$45,ROUND(RAND()*39,0)+1)</f>
        <v>Paula</v>
      </c>
      <c r="E65" t="str" cm="1">
        <f t="array" aca="1" ref="E65" ca="1">INDEX(Hoja6!D$6:D$45,ROUND(RAND()*39,0)+1)</f>
        <v>Martínez</v>
      </c>
      <c r="F65" t="str" cm="1">
        <f t="array" aca="1" ref="F65" ca="1">INDEX(Tabla9[id_direccion],ROUND(RAND()*215,0)+1)</f>
        <v>C-ELA</v>
      </c>
    </row>
    <row r="66" spans="3:6" x14ac:dyDescent="0.25">
      <c r="C66" t="s">
        <v>577</v>
      </c>
      <c r="D66" t="str" cm="1">
        <f t="array" aca="1" ref="D66" ca="1">INDEX(Hoja6!C$6:C$45,ROUND(RAND()*39,0)+1)</f>
        <v>Francisco</v>
      </c>
      <c r="E66" t="str" cm="1">
        <f t="array" aca="1" ref="E66" ca="1">INDEX(Hoja6!D$6:D$45,ROUND(RAND()*39,0)+1)</f>
        <v>Álvarez</v>
      </c>
      <c r="F66" t="str" cm="1">
        <f t="array" aca="1" ref="F66" ca="1">INDEX(Tabla9[id_direccion],ROUND(RAND()*215,0)+1)</f>
        <v>B-VEN</v>
      </c>
    </row>
    <row r="67" spans="3:6" x14ac:dyDescent="0.25">
      <c r="C67" t="s">
        <v>578</v>
      </c>
      <c r="D67" t="str" cm="1">
        <f t="array" aca="1" ref="D67" ca="1">INDEX(Hoja6!C$6:C$45,ROUND(RAND()*39,0)+1)</f>
        <v>Sofía</v>
      </c>
      <c r="E67" t="str" cm="1">
        <f t="array" aca="1" ref="E67" ca="1">INDEX(Hoja6!D$6:D$45,ROUND(RAND()*39,0)+1)</f>
        <v>Moreno</v>
      </c>
      <c r="F67" t="str" cm="1">
        <f t="array" aca="1" ref="F67" ca="1">INDEX(Tabla9[id_direccion],ROUND(RAND()*215,0)+1)</f>
        <v>S-LLE</v>
      </c>
    </row>
    <row r="68" spans="3:6" x14ac:dyDescent="0.25">
      <c r="C68" t="s">
        <v>192</v>
      </c>
      <c r="D68" t="str" cm="1">
        <f t="array" aca="1" ref="D68" ca="1">INDEX(Hoja6!C$6:C$45,ROUND(RAND()*39,0)+1)</f>
        <v>Alejandro</v>
      </c>
      <c r="E68" t="str" cm="1">
        <f t="array" aca="1" ref="E68" ca="1">INDEX(Hoja6!D$6:D$45,ROUND(RAND()*39,0)+1)</f>
        <v>López</v>
      </c>
      <c r="F68" t="str" cm="1">
        <f t="array" aca="1" ref="F68" ca="1">INDEX(Tabla9[id_direccion],ROUND(RAND()*215,0)+1)</f>
        <v>R-PLA</v>
      </c>
    </row>
    <row r="69" spans="3:6" x14ac:dyDescent="0.25">
      <c r="C69" t="s">
        <v>579</v>
      </c>
      <c r="D69" t="str" cm="1">
        <f t="array" aca="1" ref="D69" ca="1">INDEX(Hoja6!C$6:C$45,ROUND(RAND()*39,0)+1)</f>
        <v>Francisco</v>
      </c>
      <c r="E69" t="str" cm="1">
        <f t="array" aca="1" ref="E69" ca="1">INDEX(Hoja6!D$6:D$45,ROUND(RAND()*39,0)+1)</f>
        <v>Rodríguez</v>
      </c>
      <c r="F69" t="str" cm="1">
        <f t="array" aca="1" ref="F69" ca="1">INDEX(Tabla9[id_direccion],ROUND(RAND()*215,0)+1)</f>
        <v>C-ENI</v>
      </c>
    </row>
    <row r="70" spans="3:6" x14ac:dyDescent="0.25">
      <c r="C70" t="s">
        <v>580</v>
      </c>
      <c r="D70" t="str" cm="1">
        <f t="array" aca="1" ref="D70" ca="1">INDEX(Hoja6!C$6:C$45,ROUND(RAND()*39,0)+1)</f>
        <v>Carmen</v>
      </c>
      <c r="E70" t="str" cm="1">
        <f t="array" aca="1" ref="E70" ca="1">INDEX(Hoja6!D$6:D$45,ROUND(RAND()*39,0)+1)</f>
        <v>Pérez</v>
      </c>
      <c r="F70" t="str" cm="1">
        <f t="array" aca="1" ref="F70" ca="1">INDEX(Tabla9[id_direccion],ROUND(RAND()*215,0)+1)</f>
        <v>L-LED</v>
      </c>
    </row>
    <row r="71" spans="3:6" x14ac:dyDescent="0.25">
      <c r="C71" t="s">
        <v>581</v>
      </c>
      <c r="D71" t="str" cm="1">
        <f t="array" aca="1" ref="D71" ca="1">INDEX(Hoja6!C$6:C$45,ROUND(RAND()*39,0)+1)</f>
        <v>Laura</v>
      </c>
      <c r="E71" t="str" cm="1">
        <f t="array" aca="1" ref="E71" ca="1">INDEX(Hoja6!D$6:D$45,ROUND(RAND()*39,0)+1)</f>
        <v>Torres</v>
      </c>
      <c r="F71" t="str" cm="1">
        <f t="array" aca="1" ref="F71" ca="1">INDEX(Tabla9[id_direccion],ROUND(RAND()*215,0)+1)</f>
        <v>O-OR2</v>
      </c>
    </row>
    <row r="72" spans="3:6" x14ac:dyDescent="0.25">
      <c r="C72" t="s">
        <v>582</v>
      </c>
      <c r="D72" t="str" cm="1">
        <f t="array" aca="1" ref="D72" ca="1">INDEX(Hoja6!C$6:C$45,ROUND(RAND()*39,0)+1)</f>
        <v>Álvaro</v>
      </c>
      <c r="E72" t="str" cm="1">
        <f t="array" aca="1" ref="E72" ca="1">INDEX(Hoja6!D$6:D$45,ROUND(RAND()*39,0)+1)</f>
        <v>Sánchez</v>
      </c>
      <c r="F72" t="str" cm="1">
        <f t="array" aca="1" ref="F72" ca="1">INDEX(Tabla9[id_direccion],ROUND(RAND()*215,0)+1)</f>
        <v>R-ELA</v>
      </c>
    </row>
    <row r="73" spans="3:6" x14ac:dyDescent="0.25">
      <c r="C73" t="s">
        <v>583</v>
      </c>
      <c r="D73" t="str" cm="1">
        <f t="array" aca="1" ref="D73" ca="1">INDEX(Hoja6!C$6:C$45,ROUND(RAND()*39,0)+1)</f>
        <v>Francisco</v>
      </c>
      <c r="E73" t="str" cm="1">
        <f t="array" aca="1" ref="E73" ca="1">INDEX(Hoja6!D$6:D$45,ROUND(RAND()*39,0)+1)</f>
        <v>Fernández</v>
      </c>
      <c r="F73" t="str" cm="1">
        <f t="array" aca="1" ref="F73" ca="1">INDEX(Tabla9[id_direccion],ROUND(RAND()*215,0)+1)</f>
        <v>E-DEL</v>
      </c>
    </row>
    <row r="74" spans="3:6" x14ac:dyDescent="0.25">
      <c r="C74" t="s">
        <v>197</v>
      </c>
      <c r="D74" t="str" cm="1">
        <f t="array" aca="1" ref="D74" ca="1">INDEX(Hoja6!C$6:C$45,ROUND(RAND()*39,0)+1)</f>
        <v>Lucía</v>
      </c>
      <c r="E74" t="str" cm="1">
        <f t="array" aca="1" ref="E74" ca="1">INDEX(Hoja6!D$6:D$45,ROUND(RAND()*39,0)+1)</f>
        <v>Torres</v>
      </c>
      <c r="F74" t="str" cm="1">
        <f t="array" aca="1" ref="F74" ca="1">INDEX(Tabla9[id_direccion],ROUND(RAND()*215,0)+1)</f>
        <v>A-ADE</v>
      </c>
    </row>
    <row r="75" spans="3:6" x14ac:dyDescent="0.25">
      <c r="C75" t="s">
        <v>584</v>
      </c>
      <c r="D75" t="str" cm="1">
        <f t="array" aca="1" ref="D75" ca="1">INDEX(Hoja6!C$6:C$45,ROUND(RAND()*39,0)+1)</f>
        <v>Sofía</v>
      </c>
      <c r="E75" t="str" cm="1">
        <f t="array" aca="1" ref="E75" ca="1">INDEX(Hoja6!D$6:D$45,ROUND(RAND()*39,0)+1)</f>
        <v>Muñoz</v>
      </c>
      <c r="F75" t="str" cm="1">
        <f t="array" aca="1" ref="F75" ca="1">INDEX(Tabla9[id_direccion],ROUND(RAND()*215,0)+1)</f>
        <v>E-TIC</v>
      </c>
    </row>
    <row r="76" spans="3:6" x14ac:dyDescent="0.25">
      <c r="C76" t="s">
        <v>585</v>
      </c>
      <c r="D76" t="str" cm="1">
        <f t="array" aca="1" ref="D76" ca="1">INDEX(Hoja6!C$6:C$45,ROUND(RAND()*39,0)+1)</f>
        <v>David</v>
      </c>
      <c r="E76" t="str" cm="1">
        <f t="array" aca="1" ref="E76" ca="1">INDEX(Hoja6!D$6:D$45,ROUND(RAND()*39,0)+1)</f>
        <v>Jiménez</v>
      </c>
      <c r="F76" t="str" cm="1">
        <f t="array" aca="1" ref="F76" ca="1">INDEX(Tabla9[id_direccion],ROUND(RAND()*215,0)+1)</f>
        <v>A-DAD</v>
      </c>
    </row>
    <row r="77" spans="3:6" x14ac:dyDescent="0.25">
      <c r="C77" t="s">
        <v>200</v>
      </c>
      <c r="D77" t="str" cm="1">
        <f t="array" aca="1" ref="D77" ca="1">INDEX(Hoja6!C$6:C$45,ROUND(RAND()*39,0)+1)</f>
        <v>Laura</v>
      </c>
      <c r="E77" t="str" cm="1">
        <f t="array" aca="1" ref="E77" ca="1">INDEX(Hoja6!D$6:D$45,ROUND(RAND()*39,0)+1)</f>
        <v>García</v>
      </c>
      <c r="F77" t="str" cm="1">
        <f t="array" aca="1" ref="F77" ca="1">INDEX(Tabla9[id_direccion],ROUND(RAND()*215,0)+1)</f>
        <v>A-AVE</v>
      </c>
    </row>
    <row r="78" spans="3:6" x14ac:dyDescent="0.25">
      <c r="C78" t="s">
        <v>586</v>
      </c>
      <c r="D78" t="str" cm="1">
        <f t="array" aca="1" ref="D78" ca="1">INDEX(Hoja6!C$6:C$45,ROUND(RAND()*39,0)+1)</f>
        <v>Juan</v>
      </c>
      <c r="E78" t="str" cm="1">
        <f t="array" aca="1" ref="E78" ca="1">INDEX(Hoja6!D$6:D$45,ROUND(RAND()*39,0)+1)</f>
        <v>Díaz</v>
      </c>
      <c r="F78" t="str" cm="1">
        <f t="array" aca="1" ref="F78" ca="1">INDEX(Tabla9[id_direccion],ROUND(RAND()*215,0)+1)</f>
        <v>B-IDA</v>
      </c>
    </row>
    <row r="79" spans="3:6" x14ac:dyDescent="0.25">
      <c r="C79" t="s">
        <v>587</v>
      </c>
      <c r="D79" t="str" cm="1">
        <f t="array" aca="1" ref="D79" ca="1">INDEX(Hoja6!C$6:C$45,ROUND(RAND()*39,0)+1)</f>
        <v>Miguel</v>
      </c>
      <c r="E79" t="str" cm="1">
        <f t="array" aca="1" ref="E79" ca="1">INDEX(Hoja6!D$6:D$45,ROUND(RAND()*39,0)+1)</f>
        <v>Torres</v>
      </c>
      <c r="F79" t="str" cm="1">
        <f t="array" aca="1" ref="F79" ca="1">INDEX(Tabla9[id_direccion],ROUND(RAND()*215,0)+1)</f>
        <v>U-DEL</v>
      </c>
    </row>
    <row r="80" spans="3:6" x14ac:dyDescent="0.25">
      <c r="C80" t="s">
        <v>588</v>
      </c>
      <c r="D80" t="str" cm="1">
        <f t="array" aca="1" ref="D80" ca="1">INDEX(Hoja6!C$6:C$45,ROUND(RAND()*39,0)+1)</f>
        <v>Natalia</v>
      </c>
      <c r="E80" t="str" cm="1">
        <f t="array" aca="1" ref="E80" ca="1">INDEX(Hoja6!D$6:D$45,ROUND(RAND()*39,0)+1)</f>
        <v>Jiménez</v>
      </c>
      <c r="F80" t="str" cm="1">
        <f t="array" aca="1" ref="F80" ca="1">INDEX(Tabla9[id_direccion],ROUND(RAND()*215,0)+1)</f>
        <v>I-LAA</v>
      </c>
    </row>
    <row r="81" spans="3:6" x14ac:dyDescent="0.25">
      <c r="C81" t="s">
        <v>589</v>
      </c>
      <c r="D81" t="str" cm="1">
        <f t="array" aca="1" ref="D81" ca="1">INDEX(Hoja6!C$6:C$45,ROUND(RAND()*39,0)+1)</f>
        <v>Lucía</v>
      </c>
      <c r="E81" t="str" cm="1">
        <f t="array" aca="1" ref="E81" ca="1">INDEX(Hoja6!D$6:D$45,ROUND(RAND()*39,0)+1)</f>
        <v>Muñoz</v>
      </c>
      <c r="F81" t="str" cm="1">
        <f t="array" aca="1" ref="F81" ca="1">INDEX(Tabla9[id_direccion],ROUND(RAND()*215,0)+1)</f>
        <v>M-UST</v>
      </c>
    </row>
    <row r="82" spans="3:6" x14ac:dyDescent="0.25">
      <c r="C82" t="s">
        <v>590</v>
      </c>
      <c r="D82" t="str" cm="1">
        <f t="array" aca="1" ref="D82" ca="1">INDEX(Hoja6!C$6:C$45,ROUND(RAND()*39,0)+1)</f>
        <v>Paula</v>
      </c>
      <c r="E82" t="str" cm="1">
        <f t="array" aca="1" ref="E82" ca="1">INDEX(Hoja6!D$6:D$45,ROUND(RAND()*39,0)+1)</f>
        <v>García</v>
      </c>
      <c r="F82" t="str" cm="1">
        <f t="array" aca="1" ref="F82" ca="1">INDEX(Tabla9[id_direccion],ROUND(RAND()*215,0)+1)</f>
        <v>U-CAL</v>
      </c>
    </row>
    <row r="83" spans="3:6" x14ac:dyDescent="0.25">
      <c r="C83" t="s">
        <v>591</v>
      </c>
      <c r="D83" t="str" cm="1">
        <f t="array" aca="1" ref="D83" ca="1">INDEX(Hoja6!C$6:C$45,ROUND(RAND()*39,0)+1)</f>
        <v>Lucía</v>
      </c>
      <c r="E83" t="str" cm="1">
        <f t="array" aca="1" ref="E83" ca="1">INDEX(Hoja6!D$6:D$45,ROUND(RAND()*39,0)+1)</f>
        <v>Torres</v>
      </c>
      <c r="F83" t="str" cm="1">
        <f t="array" aca="1" ref="F83" ca="1">INDEX(Tabla9[id_direccion],ROUND(RAND()*215,0)+1)</f>
        <v>S-IDA</v>
      </c>
    </row>
    <row r="84" spans="3:6" x14ac:dyDescent="0.25">
      <c r="C84" t="s">
        <v>592</v>
      </c>
      <c r="D84" t="str" cm="1">
        <f t="array" aca="1" ref="D84" ca="1">INDEX(Hoja6!C$6:C$45,ROUND(RAND()*39,0)+1)</f>
        <v>David</v>
      </c>
      <c r="E84" t="str" cm="1">
        <f t="array" aca="1" ref="E84" ca="1">INDEX(Hoja6!D$6:D$45,ROUND(RAND()*39,0)+1)</f>
        <v>Hernández</v>
      </c>
      <c r="F84" t="str" cm="1">
        <f t="array" aca="1" ref="F84" ca="1">INDEX(Tabla9[id_direccion],ROUND(RAND()*215,0)+1)</f>
        <v>A-DAD</v>
      </c>
    </row>
    <row r="85" spans="3:6" x14ac:dyDescent="0.25">
      <c r="C85" t="s">
        <v>593</v>
      </c>
      <c r="D85" t="str" cm="1">
        <f t="array" aca="1" ref="D85" ca="1">INDEX(Hoja6!C$6:C$45,ROUND(RAND()*39,0)+1)</f>
        <v>Miguel</v>
      </c>
      <c r="E85" t="str" cm="1">
        <f t="array" aca="1" ref="E85" ca="1">INDEX(Hoja6!D$6:D$45,ROUND(RAND()*39,0)+1)</f>
        <v>Martínez</v>
      </c>
      <c r="F85" t="str" cm="1">
        <f t="array" aca="1" ref="F85" ca="1">INDEX(Tabla9[id_direccion],ROUND(RAND()*215,0)+1)</f>
        <v>L-PLA</v>
      </c>
    </row>
    <row r="86" spans="3:6" x14ac:dyDescent="0.25">
      <c r="C86" t="s">
        <v>594</v>
      </c>
      <c r="D86" t="str" cm="1">
        <f t="array" aca="1" ref="D86" ca="1">INDEX(Hoja6!C$6:C$45,ROUND(RAND()*39,0)+1)</f>
        <v>Carlos</v>
      </c>
      <c r="E86" t="str" cm="1">
        <f t="array" aca="1" ref="E86" ca="1">INDEX(Hoja6!D$6:D$45,ROUND(RAND()*39,0)+1)</f>
        <v>Torres</v>
      </c>
      <c r="F86" t="str" cm="1">
        <f t="array" aca="1" ref="F86" ca="1">INDEX(Tabla9[id_direccion],ROUND(RAND()*215,0)+1)</f>
        <v>I-FEL</v>
      </c>
    </row>
    <row r="87" spans="3:6" x14ac:dyDescent="0.25">
      <c r="C87" t="s">
        <v>595</v>
      </c>
      <c r="D87" t="str" cm="1">
        <f t="array" aca="1" ref="D87" ca="1">INDEX(Hoja6!C$6:C$45,ROUND(RAND()*39,0)+1)</f>
        <v>Miguel</v>
      </c>
      <c r="E87" t="str" cm="1">
        <f t="array" aca="1" ref="E87" ca="1">INDEX(Hoja6!D$6:D$45,ROUND(RAND()*39,0)+1)</f>
        <v>Fernández</v>
      </c>
      <c r="F87" t="str" cm="1">
        <f t="array" aca="1" ref="F87" ca="1">INDEX(Tabla9[id_direccion],ROUND(RAND()*215,0)+1)</f>
        <v>C-ELA</v>
      </c>
    </row>
    <row r="88" spans="3:6" x14ac:dyDescent="0.25">
      <c r="C88" t="s">
        <v>596</v>
      </c>
      <c r="D88" t="str" cm="1">
        <f t="array" aca="1" ref="D88" ca="1">INDEX(Hoja6!C$6:C$45,ROUND(RAND()*39,0)+1)</f>
        <v>Lucía</v>
      </c>
      <c r="E88" t="str" cm="1">
        <f t="array" aca="1" ref="E88" ca="1">INDEX(Hoja6!D$6:D$45,ROUND(RAND()*39,0)+1)</f>
        <v>Ruiz</v>
      </c>
      <c r="F88" t="str" cm="1">
        <f t="array" aca="1" ref="F88" ca="1">INDEX(Tabla9[id_direccion],ROUND(RAND()*215,0)+1)</f>
        <v>G-AVE</v>
      </c>
    </row>
    <row r="89" spans="3:6" x14ac:dyDescent="0.25">
      <c r="C89" t="s">
        <v>597</v>
      </c>
      <c r="D89" t="str" cm="1">
        <f t="array" aca="1" ref="D89" ca="1">INDEX(Hoja6!C$6:C$45,ROUND(RAND()*39,0)+1)</f>
        <v>Carlos</v>
      </c>
      <c r="E89" t="str" cm="1">
        <f t="array" aca="1" ref="E89" ca="1">INDEX(Hoja6!D$6:D$45,ROUND(RAND()*39,0)+1)</f>
        <v>Díaz</v>
      </c>
      <c r="F89" t="str" cm="1">
        <f t="array" aca="1" ref="F89" ca="1">INDEX(Tabla9[id_direccion],ROUND(RAND()*215,0)+1)</f>
        <v>R-AVE</v>
      </c>
    </row>
    <row r="90" spans="3:6" x14ac:dyDescent="0.25">
      <c r="C90" t="s">
        <v>598</v>
      </c>
      <c r="D90" t="str" cm="1">
        <f t="array" aca="1" ref="D90" ca="1">INDEX(Hoja6!C$6:C$45,ROUND(RAND()*39,0)+1)</f>
        <v>Marta</v>
      </c>
      <c r="E90" t="str" cm="1">
        <f t="array" aca="1" ref="E90" ca="1">INDEX(Hoja6!D$6:D$45,ROUND(RAND()*39,0)+1)</f>
        <v>Alonso</v>
      </c>
      <c r="F90" t="str" cm="1">
        <f t="array" aca="1" ref="F90" ca="1">INDEX(Tabla9[id_direccion],ROUND(RAND()*215,0)+1)</f>
        <v>I-UEÑ</v>
      </c>
    </row>
    <row r="91" spans="3:6" x14ac:dyDescent="0.25">
      <c r="C91" t="s">
        <v>599</v>
      </c>
      <c r="D91" t="str" cm="1">
        <f t="array" aca="1" ref="D91" ca="1">INDEX(Hoja6!C$6:C$45,ROUND(RAND()*39,0)+1)</f>
        <v>Marta</v>
      </c>
      <c r="E91" t="str" cm="1">
        <f t="array" aca="1" ref="E91" ca="1">INDEX(Hoja6!D$6:D$45,ROUND(RAND()*39,0)+1)</f>
        <v>Díaz</v>
      </c>
      <c r="F91" t="str" cm="1">
        <f t="array" aca="1" ref="F91" ca="1">INDEX(Tabla9[id_direccion],ROUND(RAND()*215,0)+1)</f>
        <v>L-ADE</v>
      </c>
    </row>
    <row r="92" spans="3:6" x14ac:dyDescent="0.25">
      <c r="C92" t="s">
        <v>600</v>
      </c>
      <c r="D92" t="str" cm="1">
        <f t="array" aca="1" ref="D92" ca="1">INDEX(Hoja6!C$6:C$45,ROUND(RAND()*39,0)+1)</f>
        <v>Sergio</v>
      </c>
      <c r="E92" t="str" cm="1">
        <f t="array" aca="1" ref="E92" ca="1">INDEX(Hoja6!D$6:D$45,ROUND(RAND()*39,0)+1)</f>
        <v>Álvarez</v>
      </c>
      <c r="F92" t="str" cm="1">
        <f t="array" aca="1" ref="F92" ca="1">INDEX(Tabla9[id_direccion],ROUND(RAND()*215,0)+1)</f>
        <v>A-DEL</v>
      </c>
    </row>
    <row r="93" spans="3:6" x14ac:dyDescent="0.25">
      <c r="C93" t="s">
        <v>601</v>
      </c>
      <c r="D93" t="str" cm="1">
        <f t="array" aca="1" ref="D93" ca="1">INDEX(Hoja6!C$6:C$45,ROUND(RAND()*39,0)+1)</f>
        <v>Jorge</v>
      </c>
      <c r="E93" t="str" cm="1">
        <f t="array" aca="1" ref="E93" ca="1">INDEX(Hoja6!D$6:D$45,ROUND(RAND()*39,0)+1)</f>
        <v>Jiménez</v>
      </c>
      <c r="F93" t="str" cm="1">
        <f t="array" aca="1" ref="F93" ca="1">INDEX(Tabla9[id_direccion],ROUND(RAND()*215,0)+1)</f>
        <v>E-INA</v>
      </c>
    </row>
    <row r="94" spans="3:6" x14ac:dyDescent="0.25">
      <c r="C94" t="s">
        <v>602</v>
      </c>
      <c r="D94" t="str" cm="1">
        <f t="array" aca="1" ref="D94" ca="1">INDEX(Hoja6!C$6:C$45,ROUND(RAND()*39,0)+1)</f>
        <v>Marta</v>
      </c>
      <c r="E94" t="str" cm="1">
        <f t="array" aca="1" ref="E94" ca="1">INDEX(Hoja6!D$6:D$45,ROUND(RAND()*39,0)+1)</f>
        <v>Jiménez</v>
      </c>
      <c r="F94" t="str" cm="1">
        <f t="array" aca="1" ref="F94" ca="1">INDEX(Tabla9[id_direccion],ROUND(RAND()*215,0)+1)</f>
        <v>U-MAY</v>
      </c>
    </row>
    <row r="95" spans="3:6" x14ac:dyDescent="0.25">
      <c r="C95" t="s">
        <v>193</v>
      </c>
      <c r="D95" t="str" cm="1">
        <f t="array" aca="1" ref="D95" ca="1">INDEX(Hoja6!C$6:C$45,ROUND(RAND()*39,0)+1)</f>
        <v>Alejandro</v>
      </c>
      <c r="E95" t="str" cm="1">
        <f t="array" aca="1" ref="E95" ca="1">INDEX(Hoja6!D$6:D$45,ROUND(RAND()*39,0)+1)</f>
        <v>Fernández</v>
      </c>
      <c r="F95" t="str" cm="1">
        <f t="array" aca="1" ref="F95" ca="1">INDEX(Tabla9[id_direccion],ROUND(RAND()*215,0)+1)</f>
        <v>M-UST</v>
      </c>
    </row>
    <row r="96" spans="3:6" x14ac:dyDescent="0.25">
      <c r="C96" t="s">
        <v>603</v>
      </c>
      <c r="D96" t="str" cm="1">
        <f t="array" aca="1" ref="D96" ca="1">INDEX(Hoja6!C$6:C$45,ROUND(RAND()*39,0)+1)</f>
        <v>Natalia</v>
      </c>
      <c r="E96" t="str" cm="1">
        <f t="array" aca="1" ref="E96" ca="1">INDEX(Hoja6!D$6:D$45,ROUND(RAND()*39,0)+1)</f>
        <v>Navarro</v>
      </c>
      <c r="F96" t="str" cm="1">
        <f t="array" aca="1" ref="F96" ca="1">INDEX(Tabla9[id_direccion],ROUND(RAND()*215,0)+1)</f>
        <v>I-CAL</v>
      </c>
    </row>
    <row r="97" spans="3:6" x14ac:dyDescent="0.25">
      <c r="C97" t="s">
        <v>604</v>
      </c>
      <c r="D97" t="str" cm="1">
        <f t="array" aca="1" ref="D97" ca="1">INDEX(Hoja6!C$6:C$45,ROUND(RAND()*39,0)+1)</f>
        <v>Sofía</v>
      </c>
      <c r="E97" t="str" cm="1">
        <f t="array" aca="1" ref="E97" ca="1">INDEX(Hoja6!D$6:D$45,ROUND(RAND()*39,0)+1)</f>
        <v>Martínez</v>
      </c>
      <c r="F97" t="str" cm="1">
        <f t="array" aca="1" ref="F97" ca="1">INDEX(Tabla9[id_direccion],ROUND(RAND()*215,0)+1)</f>
        <v>G-IDA</v>
      </c>
    </row>
    <row r="98" spans="3:6" x14ac:dyDescent="0.25">
      <c r="C98" t="s">
        <v>605</v>
      </c>
      <c r="D98" t="str" cm="1">
        <f t="array" aca="1" ref="D98" ca="1">INDEX(Hoja6!C$6:C$45,ROUND(RAND()*39,0)+1)</f>
        <v>Marta</v>
      </c>
      <c r="E98" t="str" cm="1">
        <f t="array" aca="1" ref="E98" ca="1">INDEX(Hoja6!D$6:D$45,ROUND(RAND()*39,0)+1)</f>
        <v>Díaz</v>
      </c>
      <c r="F98" t="str" cm="1">
        <f t="array" aca="1" ref="F98" ca="1">INDEX(Tabla9[id_direccion],ROUND(RAND()*215,0)+1)</f>
        <v>R-LLE</v>
      </c>
    </row>
    <row r="99" spans="3:6" x14ac:dyDescent="0.25">
      <c r="C99" t="s">
        <v>606</v>
      </c>
      <c r="D99" t="str" cm="1">
        <f t="array" aca="1" ref="D99" ca="1">INDEX(Hoja6!C$6:C$45,ROUND(RAND()*39,0)+1)</f>
        <v>Carlos</v>
      </c>
      <c r="E99" t="str" cm="1">
        <f t="array" aca="1" ref="E99" ca="1">INDEX(Hoja6!D$6:D$45,ROUND(RAND()*39,0)+1)</f>
        <v>Rodríguez</v>
      </c>
      <c r="F99" t="str" cm="1">
        <f t="array" aca="1" ref="F99" ca="1">INDEX(Tabla9[id_direccion],ROUND(RAND()*215,0)+1)</f>
        <v>L-PLA</v>
      </c>
    </row>
    <row r="100" spans="3:6" x14ac:dyDescent="0.25">
      <c r="C100" t="s">
        <v>607</v>
      </c>
      <c r="D100" t="str" cm="1">
        <f t="array" aca="1" ref="D100" ca="1">INDEX(Hoja6!C$6:C$45,ROUND(RAND()*39,0)+1)</f>
        <v>David</v>
      </c>
      <c r="E100" t="str" cm="1">
        <f t="array" aca="1" ref="E100" ca="1">INDEX(Hoja6!D$6:D$45,ROUND(RAND()*39,0)+1)</f>
        <v>González</v>
      </c>
      <c r="F100" t="str" cm="1">
        <f t="array" aca="1" ref="F100" ca="1">INDEX(Tabla9[id_direccion],ROUND(RAND()*215,0)+1)</f>
        <v>L-OR2</v>
      </c>
    </row>
    <row r="101" spans="3:6" x14ac:dyDescent="0.25">
      <c r="C101" t="s">
        <v>608</v>
      </c>
      <c r="D101" t="str" cm="1">
        <f t="array" aca="1" ref="D101" ca="1">INDEX(Hoja6!C$6:C$45,ROUND(RAND()*39,0)+1)</f>
        <v>Álvaro</v>
      </c>
      <c r="E101" t="str" cm="1">
        <f t="array" aca="1" ref="E101" ca="1">INDEX(Hoja6!D$6:D$45,ROUND(RAND()*39,0)+1)</f>
        <v>Pérez</v>
      </c>
      <c r="F101" t="str" cm="1">
        <f t="array" aca="1" ref="F101" ca="1">INDEX(Tabla9[id_direccion],ROUND(RAND()*215,0)+1)</f>
        <v>L-LED</v>
      </c>
    </row>
    <row r="102" spans="3:6" x14ac:dyDescent="0.25">
      <c r="C102" t="s">
        <v>609</v>
      </c>
      <c r="D102" t="str" cm="1">
        <f t="array" aca="1" ref="D102" ca="1">INDEX(Hoja6!C$6:C$45,ROUND(RAND()*39,0)+1)</f>
        <v>Alejandro</v>
      </c>
      <c r="E102" t="str" cm="1">
        <f t="array" aca="1" ref="E102" ca="1">INDEX(Hoja6!D$6:D$45,ROUND(RAND()*39,0)+1)</f>
        <v>Fernández</v>
      </c>
      <c r="F102" t="str" cm="1">
        <f t="array" aca="1" ref="F102" ca="1">INDEX(Tabla9[id_direccion],ROUND(RAND()*215,0)+1)</f>
        <v>A-LED</v>
      </c>
    </row>
    <row r="103" spans="3:6" x14ac:dyDescent="0.25">
      <c r="C103" t="s">
        <v>610</v>
      </c>
      <c r="D103" t="str" cm="1">
        <f t="array" aca="1" ref="D103" ca="1">INDEX(Hoja6!C$6:C$45,ROUND(RAND()*39,0)+1)</f>
        <v>Marta</v>
      </c>
      <c r="E103" t="str" cm="1">
        <f t="array" aca="1" ref="E103" ca="1">INDEX(Hoja6!D$6:D$45,ROUND(RAND()*39,0)+1)</f>
        <v>Rodríguez</v>
      </c>
      <c r="F103" t="str" cm="1">
        <f t="array" aca="1" ref="F103" ca="1">INDEX(Tabla9[id_direccion],ROUND(RAND()*215,0)+1)</f>
        <v>A-NID</v>
      </c>
    </row>
    <row r="104" spans="3:6" x14ac:dyDescent="0.25">
      <c r="C104" t="s">
        <v>611</v>
      </c>
      <c r="D104" t="str" cm="1">
        <f t="array" aca="1" ref="D104" ca="1">INDEX(Hoja6!C$6:C$45,ROUND(RAND()*39,0)+1)</f>
        <v>Álvaro</v>
      </c>
      <c r="E104" t="str" cm="1">
        <f t="array" aca="1" ref="E104" ca="1">INDEX(Hoja6!D$6:D$45,ROUND(RAND()*39,0)+1)</f>
        <v>Fernández</v>
      </c>
      <c r="F104" t="str" cm="1">
        <f t="array" aca="1" ref="F104" ca="1">INDEX(Tabla9[id_direccion],ROUND(RAND()*215,0)+1)</f>
        <v>A-DAD</v>
      </c>
    </row>
    <row r="105" spans="3:6" x14ac:dyDescent="0.25">
      <c r="C105" t="s">
        <v>612</v>
      </c>
      <c r="D105" t="str" cm="1">
        <f t="array" aca="1" ref="D105" ca="1">INDEX(Hoja6!C$6:C$45,ROUND(RAND()*39,0)+1)</f>
        <v>Laura</v>
      </c>
      <c r="E105" t="str" cm="1">
        <f t="array" aca="1" ref="E105" ca="1">INDEX(Hoja6!D$6:D$45,ROUND(RAND()*39,0)+1)</f>
        <v>Díaz</v>
      </c>
      <c r="F105" t="str" cm="1">
        <f t="array" aca="1" ref="F105" ca="1">INDEX(Tabla9[id_direccion],ROUND(RAND()*215,0)+1)</f>
        <v>R-LLE</v>
      </c>
    </row>
    <row r="106" spans="3:6" x14ac:dyDescent="0.25">
      <c r="C106" t="s">
        <v>613</v>
      </c>
      <c r="D106" t="str" cm="1">
        <f t="array" aca="1" ref="D106" ca="1">INDEX(Hoja6!C$6:C$45,ROUND(RAND()*39,0)+1)</f>
        <v>Marta</v>
      </c>
      <c r="E106" t="str" cm="1">
        <f t="array" aca="1" ref="E106" ca="1">INDEX(Hoja6!D$6:D$45,ROUND(RAND()*39,0)+1)</f>
        <v>Alonso</v>
      </c>
      <c r="F106" t="str" cm="1">
        <f t="array" aca="1" ref="F106" ca="1">INDEX(Tabla9[id_direccion],ROUND(RAND()*215,0)+1)</f>
        <v>N-DEL</v>
      </c>
    </row>
    <row r="107" spans="3:6" x14ac:dyDescent="0.25">
      <c r="C107" t="s">
        <v>614</v>
      </c>
      <c r="D107" t="str" cm="1">
        <f t="array" aca="1" ref="D107" ca="1">INDEX(Hoja6!C$6:C$45,ROUND(RAND()*39,0)+1)</f>
        <v>Sofía</v>
      </c>
      <c r="E107" t="str" cm="1">
        <f t="array" aca="1" ref="E107" ca="1">INDEX(Hoja6!D$6:D$45,ROUND(RAND()*39,0)+1)</f>
        <v>Pérez</v>
      </c>
      <c r="F107" t="str" cm="1">
        <f t="array" aca="1" ref="F107" ca="1">INDEX(Tabla9[id_direccion],ROUND(RAND()*215,0)+1)</f>
        <v>J-TIC</v>
      </c>
    </row>
    <row r="108" spans="3:6" x14ac:dyDescent="0.25">
      <c r="C108" t="s">
        <v>615</v>
      </c>
      <c r="D108" t="str" cm="1">
        <f t="array" aca="1" ref="D108" ca="1">INDEX(Hoja6!C$6:C$45,ROUND(RAND()*39,0)+1)</f>
        <v>Carlos</v>
      </c>
      <c r="E108" t="str" cm="1">
        <f t="array" aca="1" ref="E108" ca="1">INDEX(Hoja6!D$6:D$45,ROUND(RAND()*39,0)+1)</f>
        <v>Díaz</v>
      </c>
      <c r="F108" t="str" cm="1">
        <f t="array" aca="1" ref="F108" ca="1">INDEX(Tabla9[id_direccion],ROUND(RAND()*215,0)+1)</f>
        <v>G-AVE</v>
      </c>
    </row>
    <row r="109" spans="3:6" x14ac:dyDescent="0.25">
      <c r="C109" t="s">
        <v>616</v>
      </c>
      <c r="D109" t="str" cm="1">
        <f t="array" aca="1" ref="D109" ca="1">INDEX(Hoja6!C$6:C$45,ROUND(RAND()*39,0)+1)</f>
        <v>Jorge</v>
      </c>
      <c r="E109" t="str" cm="1">
        <f t="array" aca="1" ref="E109" ca="1">INDEX(Hoja6!D$6:D$45,ROUND(RAND()*39,0)+1)</f>
        <v>Sánchez</v>
      </c>
      <c r="F109" t="str" cm="1">
        <f t="array" aca="1" ref="F109" ca="1">INDEX(Tabla9[id_direccion],ROUND(RAND()*215,0)+1)</f>
        <v>A-DEL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E976-E1A2-4C47-BAFD-CE4B18E0CAFF}">
  <dimension ref="B5:D222"/>
  <sheetViews>
    <sheetView workbookViewId="0">
      <selection activeCell="C7" sqref="C7"/>
    </sheetView>
  </sheetViews>
  <sheetFormatPr baseColWidth="10" defaultRowHeight="15" x14ac:dyDescent="0.25"/>
  <cols>
    <col min="2" max="2" width="15" customWidth="1"/>
  </cols>
  <sheetData>
    <row r="5" spans="2:4" x14ac:dyDescent="0.25">
      <c r="B5" t="s">
        <v>460</v>
      </c>
      <c r="C5" t="s">
        <v>462</v>
      </c>
      <c r="D5" t="s">
        <v>461</v>
      </c>
    </row>
    <row r="6" spans="2:4" x14ac:dyDescent="0.25">
      <c r="B6" t="str">
        <f ca="1">CONCATENATE(UPPER(SUBSTITUTE(MID(C6,RANDBETWEEN(1,LEN(C6)),1)," ","")),"-",UPPER(SUBSTITUTE(MID(D6,RANDBETWEEN(1,LEN(D6)-2),3)," ","")))</f>
        <v>A-DEL</v>
      </c>
      <c r="C6" t="str" cm="1">
        <f t="array" aca="1" ref="C6" ca="1">INDEX(Tabla5[codigo],ROUND(RAND()*45,0)+1)</f>
        <v>PAL</v>
      </c>
      <c r="D6" t="str" cm="1">
        <f t="array" aca="1" ref="D6" ca="1">INDEX(Tabla8[id_calle],ROUND(RAND()*45,0)+1)</f>
        <v>DELA</v>
      </c>
    </row>
    <row r="7" spans="2:4" x14ac:dyDescent="0.25">
      <c r="B7" t="str">
        <f t="shared" ref="B7:B11" ca="1" si="0">CONCATENATE(UPPER(SUBSTITUTE(MID(C7,RANDBETWEEN(1,LEN(C7)),1)," ","")),"-",UPPER(SUBSTITUTE(MID(D7,RANDBETWEEN(1,LEN(D7)-2),3)," ","")))</f>
        <v>U-DEL</v>
      </c>
      <c r="C7" t="str" cm="1">
        <f t="array" aca="1" ref="C7" ca="1">INDEX(Tabla5[codigo],ROUND(RAND()*45,0)+1)</f>
        <v>CUE</v>
      </c>
      <c r="D7" t="str" cm="1">
        <f t="array" aca="1" ref="D7" ca="1">INDEX(Tabla8[id_calle],ROUND(RAND()*45,0)+1)</f>
        <v>DEL</v>
      </c>
    </row>
    <row r="8" spans="2:4" x14ac:dyDescent="0.25">
      <c r="B8" t="str">
        <f t="shared" ca="1" si="0"/>
        <v>E-UE1</v>
      </c>
      <c r="C8" t="str" cm="1">
        <f t="array" aca="1" ref="C8" ca="1">INDEX(Tabla5[codigo],ROUND(RAND()*45,0)+1)</f>
        <v>CEU</v>
      </c>
      <c r="D8" t="str" cm="1">
        <f t="array" aca="1" ref="D8" ca="1">INDEX(Tabla8[id_calle],ROUND(RAND()*45,0)+1)</f>
        <v>UE18</v>
      </c>
    </row>
    <row r="9" spans="2:4" x14ac:dyDescent="0.25">
      <c r="B9" t="str">
        <f t="shared" ca="1" si="0"/>
        <v>G-LED</v>
      </c>
      <c r="C9" t="str" cm="1">
        <f t="array" aca="1" ref="C9" ca="1">INDEX(Tabla5[codigo],ROUND(RAND()*45,0)+1)</f>
        <v>GUA</v>
      </c>
      <c r="D9" t="str" cm="1">
        <f t="array" aca="1" ref="D9" ca="1">INDEX(Tabla8[id_calle],ROUND(RAND()*45,0)+1)</f>
        <v>LEDE</v>
      </c>
    </row>
    <row r="10" spans="2:4" x14ac:dyDescent="0.25">
      <c r="B10" t="str">
        <f t="shared" ca="1" si="0"/>
        <v>A-ADE</v>
      </c>
      <c r="C10" t="str" cm="1">
        <f t="array" aca="1" ref="C10" ca="1">INDEX(Tabla5[codigo],ROUND(RAND()*45,0)+1)</f>
        <v>TAL</v>
      </c>
      <c r="D10" t="str" cm="1">
        <f t="array" aca="1" ref="D10" ca="1">INDEX(Tabla8[id_calle],ROUND(RAND()*45,0)+1)</f>
        <v>ADE</v>
      </c>
    </row>
    <row r="11" spans="2:4" x14ac:dyDescent="0.25">
      <c r="B11" t="str">
        <f t="shared" ca="1" si="0"/>
        <v>L-NID</v>
      </c>
      <c r="C11" t="str" cm="1">
        <f t="array" aca="1" ref="C11" ca="1">INDEX(Tabla5[codigo],ROUND(RAND()*45,0)+1)</f>
        <v>TAL</v>
      </c>
      <c r="D11" t="str" cm="1">
        <f t="array" aca="1" ref="D11" ca="1">INDEX(Tabla8[id_calle],ROUND(RAND()*45,0)+1)</f>
        <v>NIDA</v>
      </c>
    </row>
    <row r="12" spans="2:4" x14ac:dyDescent="0.25">
      <c r="B12" t="str">
        <f t="shared" ref="B12:B75" ca="1" si="1">CONCATENATE(UPPER(SUBSTITUTE(MID(C12,RANDBETWEEN(1,LEN(C12)),1)," ","")),"-",UPPER(SUBSTITUTE(MID(D12,RANDBETWEEN(1,LEN(D12)-2),3)," ","")))</f>
        <v>A-DEL</v>
      </c>
      <c r="C12" t="str" cm="1">
        <f t="array" aca="1" ref="C12" ca="1">INDEX(Tabla5[codigo],ROUND(RAND()*45,0)+1)</f>
        <v>AVA</v>
      </c>
      <c r="D12" t="str" cm="1">
        <f t="array" aca="1" ref="D12" ca="1">INDEX(Tabla8[id_calle],ROUND(RAND()*45,0)+1)</f>
        <v>DEL</v>
      </c>
    </row>
    <row r="13" spans="2:4" x14ac:dyDescent="0.25">
      <c r="B13" t="str">
        <f t="shared" ca="1" si="1"/>
        <v>A-LLE</v>
      </c>
      <c r="C13" t="str" cm="1">
        <f t="array" aca="1" ref="C13" ca="1">INDEX(Tabla5[codigo],ROUND(RAND()*45,0)+1)</f>
        <v>BAL</v>
      </c>
      <c r="D13" t="str" cm="1">
        <f t="array" aca="1" ref="D13" ca="1">INDEX(Tabla8[id_calle],ROUND(RAND()*45,0)+1)</f>
        <v>LLED</v>
      </c>
    </row>
    <row r="14" spans="2:4" x14ac:dyDescent="0.25">
      <c r="B14" t="str">
        <f t="shared" ca="1" si="1"/>
        <v>L-ELA</v>
      </c>
      <c r="C14" t="str" cm="1">
        <f t="array" aca="1" ref="C14" ca="1">INDEX(Tabla5[codigo],ROUND(RAND()*45,0)+1)</f>
        <v>BAL</v>
      </c>
      <c r="D14" t="str" cm="1">
        <f t="array" aca="1" ref="D14" ca="1">INDEX(Tabla8[id_calle],ROUND(RAND()*45,0)+1)</f>
        <v>ELA</v>
      </c>
    </row>
    <row r="15" spans="2:4" x14ac:dyDescent="0.25">
      <c r="B15" t="str">
        <f t="shared" ca="1" si="1"/>
        <v>M-AVE</v>
      </c>
      <c r="C15" t="str" cm="1">
        <f t="array" aca="1" ref="C15" ca="1">INDEX(Tabla5[codigo],ROUND(RAND()*45,0)+1)</f>
        <v>MAL</v>
      </c>
      <c r="D15" t="str" cm="1">
        <f t="array" aca="1" ref="D15" ca="1">INDEX(Tabla8[id_calle],ROUND(RAND()*45,0)+1)</f>
        <v>AVENI</v>
      </c>
    </row>
    <row r="16" spans="2:4" x14ac:dyDescent="0.25">
      <c r="B16" t="str">
        <f t="shared" ca="1" si="1"/>
        <v>R-ADE</v>
      </c>
      <c r="C16" t="str" cm="1">
        <f t="array" aca="1" ref="C16" ca="1">INDEX(Tabla5[codigo],ROUND(RAND()*45,0)+1)</f>
        <v>ORU</v>
      </c>
      <c r="D16" t="str" cm="1">
        <f t="array" aca="1" ref="D16" ca="1">INDEX(Tabla8[id_calle],ROUND(RAND()*45,0)+1)</f>
        <v>DADE</v>
      </c>
    </row>
    <row r="17" spans="2:4" x14ac:dyDescent="0.25">
      <c r="B17" t="str">
        <f t="shared" ca="1" si="1"/>
        <v>I-LAA</v>
      </c>
      <c r="C17" t="str" cm="1">
        <f t="array" aca="1" ref="C17" ca="1">INDEX(Tabla5[codigo],ROUND(RAND()*45,0)+1)</f>
        <v>GIP</v>
      </c>
      <c r="D17" t="str" cm="1">
        <f t="array" aca="1" ref="D17" ca="1">INDEX(Tabla8[id_calle],ROUND(RAND()*45,0)+1)</f>
        <v>LAA</v>
      </c>
    </row>
    <row r="18" spans="2:4" x14ac:dyDescent="0.25">
      <c r="B18" t="str">
        <f t="shared" ca="1" si="1"/>
        <v>R-TIC</v>
      </c>
      <c r="C18" t="str" cm="1">
        <f t="array" aca="1" ref="C18" ca="1">INDEX(Tabla5[codigo],ROUND(RAND()*45,0)+1)</f>
        <v>MUR</v>
      </c>
      <c r="D18" t="str" cm="1">
        <f t="array" aca="1" ref="D18" ca="1">INDEX(Tabla8[id_calle],ROUND(RAND()*45,0)+1)</f>
        <v>USTIC</v>
      </c>
    </row>
    <row r="19" spans="2:4" x14ac:dyDescent="0.25">
      <c r="B19" t="str">
        <f t="shared" ca="1" si="1"/>
        <v>C-LAY</v>
      </c>
      <c r="C19" t="str" cm="1">
        <f t="array" aca="1" ref="C19" ca="1">INDEX(Tabla5[codigo],ROUND(RAND()*45,0)+1)</f>
        <v>CUE</v>
      </c>
      <c r="D19" t="str" cm="1">
        <f t="array" aca="1" ref="D19" ca="1">INDEX(Tabla8[id_calle],ROUND(RAND()*45,0)+1)</f>
        <v>PLAY</v>
      </c>
    </row>
    <row r="20" spans="2:4" x14ac:dyDescent="0.25">
      <c r="B20" t="str">
        <f t="shared" ca="1" si="1"/>
        <v>E-ADE</v>
      </c>
      <c r="C20" t="str" cm="1">
        <f t="array" aca="1" ref="C20" ca="1">INDEX(Tabla5[codigo],ROUND(RAND()*45,0)+1)</f>
        <v>HUE</v>
      </c>
      <c r="D20" t="str" cm="1">
        <f t="array" aca="1" ref="D20" ca="1">INDEX(Tabla8[id_calle],ROUND(RAND()*45,0)+1)</f>
        <v>DADE</v>
      </c>
    </row>
    <row r="21" spans="2:4" x14ac:dyDescent="0.25">
      <c r="B21" t="str">
        <f t="shared" ca="1" si="1"/>
        <v>A-ADE</v>
      </c>
      <c r="C21" t="str" cm="1">
        <f t="array" aca="1" ref="C21" ca="1">INDEX(Tabla5[codigo],ROUND(RAND()*45,0)+1)</f>
        <v>ALA</v>
      </c>
      <c r="D21" t="str" cm="1">
        <f t="array" aca="1" ref="D21" ca="1">INDEX(Tabla8[id_calle],ROUND(RAND()*45,0)+1)</f>
        <v>ADE</v>
      </c>
    </row>
    <row r="22" spans="2:4" x14ac:dyDescent="0.25">
      <c r="B22" t="str">
        <f t="shared" ca="1" si="1"/>
        <v>U-ELA</v>
      </c>
      <c r="C22" t="str" cm="1">
        <f t="array" aca="1" ref="C22" ca="1">INDEX(Tabla5[codigo],ROUND(RAND()*45,0)+1)</f>
        <v>GUA</v>
      </c>
      <c r="D22" t="str" cm="1">
        <f t="array" aca="1" ref="D22" ca="1">INDEX(Tabla8[id_calle],ROUND(RAND()*45,0)+1)</f>
        <v>ELA</v>
      </c>
    </row>
    <row r="23" spans="2:4" x14ac:dyDescent="0.25">
      <c r="B23" t="str">
        <f t="shared" ca="1" si="1"/>
        <v>U-LED</v>
      </c>
      <c r="C23" t="str" cm="1">
        <f t="array" aca="1" ref="C23" ca="1">INDEX(Tabla5[codigo],ROUND(RAND()*45,0)+1)</f>
        <v>HUV</v>
      </c>
      <c r="D23" t="str" cm="1">
        <f t="array" aca="1" ref="D23" ca="1">INDEX(Tabla8[id_calle],ROUND(RAND()*45,0)+1)</f>
        <v>LLED</v>
      </c>
    </row>
    <row r="24" spans="2:4" x14ac:dyDescent="0.25">
      <c r="B24" t="str">
        <f t="shared" ca="1" si="1"/>
        <v>O-ELA</v>
      </c>
      <c r="C24" t="str" cm="1">
        <f t="array" aca="1" ref="C24" ca="1">INDEX(Tabla5[codigo],ROUND(RAND()*45,0)+1)</f>
        <v>COR</v>
      </c>
      <c r="D24" t="str" cm="1">
        <f t="array" aca="1" ref="D24" ca="1">INDEX(Tabla8[id_calle],ROUND(RAND()*45,0)+1)</f>
        <v>ELA</v>
      </c>
    </row>
    <row r="25" spans="2:4" x14ac:dyDescent="0.25">
      <c r="B25" t="str">
        <f t="shared" ca="1" si="1"/>
        <v>E-EÑO</v>
      </c>
      <c r="C25" t="str" cm="1">
        <f t="array" aca="1" ref="C25" ca="1">INDEX(Tabla5[codigo],ROUND(RAND()*45,0)+1)</f>
        <v>LLE</v>
      </c>
      <c r="D25" t="str" cm="1">
        <f t="array" aca="1" ref="D25" ca="1">INDEX(Tabla8[id_calle],ROUND(RAND()*45,0)+1)</f>
        <v>UEÑO</v>
      </c>
    </row>
    <row r="26" spans="2:4" x14ac:dyDescent="0.25">
      <c r="B26" t="str">
        <f t="shared" ca="1" si="1"/>
        <v>E-LED</v>
      </c>
      <c r="C26" t="str" cm="1">
        <f t="array" aca="1" ref="C26" ca="1">INDEX(Tabla5[codigo],ROUND(RAND()*45,0)+1)</f>
        <v>HUE</v>
      </c>
      <c r="D26" t="str" cm="1">
        <f t="array" aca="1" ref="D26" ca="1">INDEX(Tabla8[id_calle],ROUND(RAND()*45,0)+1)</f>
        <v>LLED</v>
      </c>
    </row>
    <row r="27" spans="2:4" x14ac:dyDescent="0.25">
      <c r="B27" t="str">
        <f t="shared" ca="1" si="1"/>
        <v>S-DÓN</v>
      </c>
      <c r="C27" t="str" cm="1">
        <f t="array" aca="1" ref="C27" ca="1">INDEX(Tabla5[codigo],ROUND(RAND()*45,0)+1)</f>
        <v>CAS</v>
      </c>
      <c r="D27" t="str" cm="1">
        <f t="array" aca="1" ref="D27" ca="1">INDEX(Tabla8[id_calle],ROUND(RAND()*45,0)+1)</f>
        <v>RDÓN</v>
      </c>
    </row>
    <row r="28" spans="2:4" x14ac:dyDescent="0.25">
      <c r="B28" t="str">
        <f t="shared" ca="1" si="1"/>
        <v>B-IDA</v>
      </c>
      <c r="C28" t="str" cm="1">
        <f t="array" aca="1" ref="C28" ca="1">INDEX(Tabla5[codigo],ROUND(RAND()*45,0)+1)</f>
        <v>BAL</v>
      </c>
      <c r="D28" t="str" cm="1">
        <f t="array" aca="1" ref="D28" ca="1">INDEX(Tabla8[id_calle],ROUND(RAND()*45,0)+1)</f>
        <v>NIDA</v>
      </c>
    </row>
    <row r="29" spans="2:4" x14ac:dyDescent="0.25">
      <c r="B29" t="str">
        <f t="shared" ca="1" si="1"/>
        <v>A-LLE</v>
      </c>
      <c r="C29" t="str" cm="1">
        <f t="array" aca="1" ref="C29" ca="1">INDEX(Tabla5[codigo],ROUND(RAND()*45,0)+1)</f>
        <v>ALA</v>
      </c>
      <c r="D29" t="str" cm="1">
        <f t="array" aca="1" ref="D29" ca="1">INDEX(Tabla8[id_calle],ROUND(RAND()*45,0)+1)</f>
        <v>CALLE</v>
      </c>
    </row>
    <row r="30" spans="2:4" x14ac:dyDescent="0.25">
      <c r="B30" t="str">
        <f t="shared" ca="1" si="1"/>
        <v>R-FEL</v>
      </c>
      <c r="C30" t="str" cm="1">
        <f t="array" aca="1" ref="C30" ca="1">INDEX(Tabla5[codigo],ROUND(RAND()*45,0)+1)</f>
        <v>ORU</v>
      </c>
      <c r="D30" t="str" cm="1">
        <f t="array" aca="1" ref="D30" ca="1">INDEX(Tabla8[id_calle],ROUND(RAND()*45,0)+1)</f>
        <v>FELI</v>
      </c>
    </row>
    <row r="31" spans="2:4" x14ac:dyDescent="0.25">
      <c r="B31" t="str">
        <f t="shared" ca="1" si="1"/>
        <v>E-IDA</v>
      </c>
      <c r="C31" t="str" cm="1">
        <f t="array" aca="1" ref="C31" ca="1">INDEX(Tabla5[codigo],ROUND(RAND()*45,0)+1)</f>
        <v>ORE</v>
      </c>
      <c r="D31" t="str" cm="1">
        <f t="array" aca="1" ref="D31" ca="1">INDEX(Tabla8[id_calle],ROUND(RAND()*45,0)+1)</f>
        <v>NIDA</v>
      </c>
    </row>
    <row r="32" spans="2:4" x14ac:dyDescent="0.25">
      <c r="B32" t="str">
        <f t="shared" ca="1" si="1"/>
        <v>A-E18</v>
      </c>
      <c r="C32" t="str" cm="1">
        <f t="array" aca="1" ref="C32" ca="1">INDEX(Tabla5[codigo],ROUND(RAND()*45,0)+1)</f>
        <v>GRA</v>
      </c>
      <c r="D32" t="str" cm="1">
        <f t="array" aca="1" ref="D32" ca="1">INDEX(Tabla8[id_calle],ROUND(RAND()*45,0)+1)</f>
        <v>UE18</v>
      </c>
    </row>
    <row r="33" spans="2:4" x14ac:dyDescent="0.25">
      <c r="B33" t="str">
        <f t="shared" ca="1" si="1"/>
        <v>E-LLE</v>
      </c>
      <c r="C33" t="str" cm="1">
        <f t="array" aca="1" ref="C33" ca="1">INDEX(Tabla5[codigo],ROUND(RAND()*45,0)+1)</f>
        <v>HUE</v>
      </c>
      <c r="D33" t="str" cm="1">
        <f t="array" aca="1" ref="D33" ca="1">INDEX(Tabla8[id_calle],ROUND(RAND()*45,0)+1)</f>
        <v>CALLE</v>
      </c>
    </row>
    <row r="34" spans="2:4" x14ac:dyDescent="0.25">
      <c r="B34" t="str">
        <f t="shared" ca="1" si="1"/>
        <v>C-IDA</v>
      </c>
      <c r="C34" t="str" cm="1">
        <f t="array" aca="1" ref="C34" ca="1">INDEX(Tabla5[codigo],ROUND(RAND()*45,0)+1)</f>
        <v>CAD</v>
      </c>
      <c r="D34" t="str" cm="1">
        <f t="array" aca="1" ref="D34" ca="1">INDEX(Tabla8[id_calle],ROUND(RAND()*45,0)+1)</f>
        <v>NIDA</v>
      </c>
    </row>
    <row r="35" spans="2:4" x14ac:dyDescent="0.25">
      <c r="B35" t="str">
        <f t="shared" ca="1" si="1"/>
        <v>O-AD2</v>
      </c>
      <c r="C35" t="str" cm="1">
        <f t="array" aca="1" ref="C35" ca="1">INDEX(Tabla5[codigo],ROUND(RAND()*45,0)+1)</f>
        <v>LOG</v>
      </c>
      <c r="D35" t="str" cm="1">
        <f t="array" aca="1" ref="D35" ca="1">INDEX(Tabla8[id_calle],ROUND(RAND()*45,0)+1)</f>
        <v>TAD2</v>
      </c>
    </row>
    <row r="36" spans="2:4" x14ac:dyDescent="0.25">
      <c r="B36" t="str">
        <f t="shared" ca="1" si="1"/>
        <v>O-OR2</v>
      </c>
      <c r="C36" t="str" cm="1">
        <f t="array" aca="1" ref="C36" ca="1">INDEX(Tabla5[codigo],ROUND(RAND()*45,0)+1)</f>
        <v>LOG</v>
      </c>
      <c r="D36" t="str" cm="1">
        <f t="array" aca="1" ref="D36" ca="1">INDEX(Tabla8[id_calle],ROUND(RAND()*45,0)+1)</f>
        <v>MOR2</v>
      </c>
    </row>
    <row r="37" spans="2:4" x14ac:dyDescent="0.25">
      <c r="B37" t="str">
        <f t="shared" ca="1" si="1"/>
        <v>L-EDE</v>
      </c>
      <c r="C37" t="str" cm="1">
        <f t="array" aca="1" ref="C37" ca="1">INDEX(Tabla5[codigo],ROUND(RAND()*45,0)+1)</f>
        <v>ALI</v>
      </c>
      <c r="D37" t="str" cm="1">
        <f t="array" aca="1" ref="D37" ca="1">INDEX(Tabla8[id_calle],ROUND(RAND()*45,0)+1)</f>
        <v>LEDE</v>
      </c>
    </row>
    <row r="38" spans="2:4" x14ac:dyDescent="0.25">
      <c r="B38" t="str">
        <f t="shared" ca="1" si="1"/>
        <v>M-FEL</v>
      </c>
      <c r="C38" t="str" cm="1">
        <f t="array" aca="1" ref="C38" ca="1">INDEX(Tabla5[codigo],ROUND(RAND()*45,0)+1)</f>
        <v>MEL</v>
      </c>
      <c r="D38" t="str" cm="1">
        <f t="array" aca="1" ref="D38" ca="1">INDEX(Tabla8[id_calle],ROUND(RAND()*45,0)+1)</f>
        <v>FELI</v>
      </c>
    </row>
    <row r="39" spans="2:4" x14ac:dyDescent="0.25">
      <c r="B39" t="str">
        <f t="shared" ca="1" si="1"/>
        <v>A-DEL</v>
      </c>
      <c r="C39" t="str" cm="1">
        <f t="array" aca="1" ref="C39" ca="1">INDEX(Tabla5[codigo],ROUND(RAND()*45,0)+1)</f>
        <v>AVA</v>
      </c>
      <c r="D39" t="str" cm="1">
        <f t="array" aca="1" ref="D39" ca="1">INDEX(Tabla8[id_calle],ROUND(RAND()*45,0)+1)</f>
        <v>DEL</v>
      </c>
    </row>
    <row r="40" spans="2:4" x14ac:dyDescent="0.25">
      <c r="B40" t="str">
        <f t="shared" ca="1" si="1"/>
        <v>M-LIN</v>
      </c>
      <c r="C40" t="str" cm="1">
        <f t="array" aca="1" ref="C40" ca="1">INDEX(Tabla5[codigo],ROUND(RAND()*45,0)+1)</f>
        <v>MAL</v>
      </c>
      <c r="D40" t="str" cm="1">
        <f t="array" aca="1" ref="D40" ca="1">INDEX(Tabla8[id_calle],ROUND(RAND()*45,0)+1)</f>
        <v>OLINA</v>
      </c>
    </row>
    <row r="41" spans="2:4" x14ac:dyDescent="0.25">
      <c r="B41" t="str">
        <f t="shared" ca="1" si="1"/>
        <v>E-SOL</v>
      </c>
      <c r="C41" t="str" cm="1">
        <f t="array" aca="1" ref="C41" ca="1">INDEX(Tabla5[codigo],ROUND(RAND()*45,0)+1)</f>
        <v>TER</v>
      </c>
      <c r="D41" t="str" cm="1">
        <f t="array" aca="1" ref="D41" ca="1">INDEX(Tabla8[id_calle],ROUND(RAND()*45,0)+1)</f>
        <v>SOL</v>
      </c>
    </row>
    <row r="42" spans="2:4" x14ac:dyDescent="0.25">
      <c r="B42" t="str">
        <f t="shared" ca="1" si="1"/>
        <v>S-EDE</v>
      </c>
      <c r="C42" t="str" cm="1">
        <f t="array" aca="1" ref="C42" ca="1">INDEX(Tabla5[codigo],ROUND(RAND()*45,0)+1)</f>
        <v>SAL</v>
      </c>
      <c r="D42" t="str" cm="1">
        <f t="array" aca="1" ref="D42" ca="1">INDEX(Tabla8[id_calle],ROUND(RAND()*45,0)+1)</f>
        <v>LEDE</v>
      </c>
    </row>
    <row r="43" spans="2:4" x14ac:dyDescent="0.25">
      <c r="B43" t="str">
        <f t="shared" ca="1" si="1"/>
        <v>L-ELI</v>
      </c>
      <c r="C43" t="str" cm="1">
        <f t="array" aca="1" ref="C43" ca="1">INDEX(Tabla5[codigo],ROUND(RAND()*45,0)+1)</f>
        <v>MAL</v>
      </c>
      <c r="D43" t="str" cm="1">
        <f t="array" aca="1" ref="D43" ca="1">INDEX(Tabla8[id_calle],ROUND(RAND()*45,0)+1)</f>
        <v>FELI</v>
      </c>
    </row>
    <row r="44" spans="2:4" x14ac:dyDescent="0.25">
      <c r="B44" t="str">
        <f t="shared" ca="1" si="1"/>
        <v>B-ATI</v>
      </c>
      <c r="C44" t="str" cm="1">
        <f t="array" aca="1" ref="C44" ca="1">INDEX(Tabla5[codigo],ROUND(RAND()*45,0)+1)</f>
        <v>BAL</v>
      </c>
      <c r="D44" t="str" cm="1">
        <f t="array" aca="1" ref="D44" ca="1">INDEX(Tabla8[id_calle],ROUND(RAND()*45,0)+1)</f>
        <v>GRATI</v>
      </c>
    </row>
    <row r="45" spans="2:4" x14ac:dyDescent="0.25">
      <c r="B45" t="str">
        <f t="shared" ca="1" si="1"/>
        <v>E-LLE</v>
      </c>
      <c r="C45" t="str" cm="1">
        <f t="array" aca="1" ref="C45" ca="1">INDEX(Tabla5[codigo],ROUND(RAND()*45,0)+1)</f>
        <v>SEG</v>
      </c>
      <c r="D45" t="str" cm="1">
        <f t="array" aca="1" ref="D45" ca="1">INDEX(Tabla8[id_calle],ROUND(RAND()*45,0)+1)</f>
        <v>CALLE</v>
      </c>
    </row>
    <row r="46" spans="2:4" x14ac:dyDescent="0.25">
      <c r="B46" t="str">
        <f t="shared" ca="1" si="1"/>
        <v>N-MAY</v>
      </c>
      <c r="C46" t="str" cm="1">
        <f t="array" aca="1" ref="C46" ca="1">INDEX(Tabla5[codigo],ROUND(RAND()*45,0)+1)</f>
        <v>NAV</v>
      </c>
      <c r="D46" t="str" cm="1">
        <f t="array" aca="1" ref="D46" ca="1">INDEX(Tabla8[id_calle],ROUND(RAND()*45,0)+1)</f>
        <v>MAYO</v>
      </c>
    </row>
    <row r="47" spans="2:4" x14ac:dyDescent="0.25">
      <c r="B47" t="str">
        <f t="shared" ca="1" si="1"/>
        <v>P-ADE</v>
      </c>
      <c r="C47" t="str" cm="1">
        <f t="array" aca="1" ref="C47" ca="1">INDEX(Tabla5[codigo],ROUND(RAND()*45,0)+1)</f>
        <v>LPA</v>
      </c>
      <c r="D47" t="str" cm="1">
        <f t="array" aca="1" ref="D47" ca="1">INDEX(Tabla8[id_calle],ROUND(RAND()*45,0)+1)</f>
        <v>ADE</v>
      </c>
    </row>
    <row r="48" spans="2:4" x14ac:dyDescent="0.25">
      <c r="B48" t="str">
        <f t="shared" ca="1" si="1"/>
        <v>G-RAT</v>
      </c>
      <c r="C48" t="str" cm="1">
        <f t="array" aca="1" ref="C48" ca="1">INDEX(Tabla5[codigo],ROUND(RAND()*45,0)+1)</f>
        <v>SEG</v>
      </c>
      <c r="D48" t="str" cm="1">
        <f t="array" aca="1" ref="D48" ca="1">INDEX(Tabla8[id_calle],ROUND(RAND()*45,0)+1)</f>
        <v>GRATI</v>
      </c>
    </row>
    <row r="49" spans="2:4" x14ac:dyDescent="0.25">
      <c r="B49" t="str">
        <f t="shared" ca="1" si="1"/>
        <v>A-CAL</v>
      </c>
      <c r="C49" t="str" cm="1">
        <f t="array" aca="1" ref="C49" ca="1">INDEX(Tabla5[codigo],ROUND(RAND()*45,0)+1)</f>
        <v>ACO</v>
      </c>
      <c r="D49" t="str" cm="1">
        <f t="array" aca="1" ref="D49" ca="1">INDEX(Tabla8[id_calle],ROUND(RAND()*45,0)+1)</f>
        <v>CALLE</v>
      </c>
    </row>
    <row r="50" spans="2:4" x14ac:dyDescent="0.25">
      <c r="B50" t="str">
        <f t="shared" ca="1" si="1"/>
        <v>E-IDA</v>
      </c>
      <c r="C50" t="str" cm="1">
        <f t="array" aca="1" ref="C50" ca="1">INDEX(Tabla5[codigo],ROUND(RAND()*45,0)+1)</f>
        <v>LEP</v>
      </c>
      <c r="D50" t="str" cm="1">
        <f t="array" aca="1" ref="D50" ca="1">INDEX(Tabla8[id_calle],ROUND(RAND()*45,0)+1)</f>
        <v>NIDA</v>
      </c>
    </row>
    <row r="51" spans="2:4" x14ac:dyDescent="0.25">
      <c r="B51" t="str">
        <f t="shared" ca="1" si="1"/>
        <v>N-DEL</v>
      </c>
      <c r="C51" t="str" cm="1">
        <f t="array" aca="1" ref="C51" ca="1">INDEX(Tabla5[codigo],ROUND(RAND()*45,0)+1)</f>
        <v>PON</v>
      </c>
      <c r="D51" t="str" cm="1">
        <f t="array" aca="1" ref="D51" ca="1">INDEX(Tabla8[id_calle],ROUND(RAND()*45,0)+1)</f>
        <v>DEL</v>
      </c>
    </row>
    <row r="52" spans="2:4" x14ac:dyDescent="0.25">
      <c r="B52" t="str">
        <f t="shared" ca="1" si="1"/>
        <v>P-AVE</v>
      </c>
      <c r="C52" t="str" cm="1">
        <f t="array" aca="1" ref="C52" ca="1">INDEX(Tabla5[codigo],ROUND(RAND()*45,0)+1)</f>
        <v>PAL</v>
      </c>
      <c r="D52" t="str" cm="1">
        <f t="array" aca="1" ref="D52" ca="1">INDEX(Tabla8[id_calle],ROUND(RAND()*45,0)+1)</f>
        <v>AVENI</v>
      </c>
    </row>
    <row r="53" spans="2:4" x14ac:dyDescent="0.25">
      <c r="B53" t="str">
        <f t="shared" ca="1" si="1"/>
        <v>I-ALL</v>
      </c>
      <c r="C53" t="str" cm="1">
        <f t="array" aca="1" ref="C53" ca="1">INDEX(Tabla5[codigo],ROUND(RAND()*45,0)+1)</f>
        <v>GIP</v>
      </c>
      <c r="D53" t="str" cm="1">
        <f t="array" aca="1" ref="D53" ca="1">INDEX(Tabla8[id_calle],ROUND(RAND()*45,0)+1)</f>
        <v>ALLE</v>
      </c>
    </row>
    <row r="54" spans="2:4" x14ac:dyDescent="0.25">
      <c r="B54" t="str">
        <f t="shared" ca="1" si="1"/>
        <v>E-ELA</v>
      </c>
      <c r="C54" t="str" cm="1">
        <f t="array" aca="1" ref="C54" ca="1">INDEX(Tabla5[codigo],ROUND(RAND()*45,0)+1)</f>
        <v>ORE</v>
      </c>
      <c r="D54" t="str" cm="1">
        <f t="array" aca="1" ref="D54" ca="1">INDEX(Tabla8[id_calle],ROUND(RAND()*45,0)+1)</f>
        <v>ELA</v>
      </c>
    </row>
    <row r="55" spans="2:4" x14ac:dyDescent="0.25">
      <c r="B55" t="str">
        <f t="shared" ca="1" si="1"/>
        <v>A-CAL</v>
      </c>
      <c r="C55" t="str" cm="1">
        <f t="array" aca="1" ref="C55" ca="1">INDEX(Tabla5[codigo],ROUND(RAND()*45,0)+1)</f>
        <v>GRA</v>
      </c>
      <c r="D55" t="str" cm="1">
        <f t="array" aca="1" ref="D55" ca="1">INDEX(Tabla8[id_calle],ROUND(RAND()*45,0)+1)</f>
        <v>CALLE</v>
      </c>
    </row>
    <row r="56" spans="2:4" x14ac:dyDescent="0.25">
      <c r="B56" t="str">
        <f t="shared" ca="1" si="1"/>
        <v>A-ELA</v>
      </c>
      <c r="C56" t="str" cm="1">
        <f t="array" aca="1" ref="C56" ca="1">INDEX(Tabla5[codigo],ROUND(RAND()*45,0)+1)</f>
        <v>BAL</v>
      </c>
      <c r="D56" t="str" cm="1">
        <f t="array" aca="1" ref="D56" ca="1">INDEX(Tabla8[id_calle],ROUND(RAND()*45,0)+1)</f>
        <v>ELA</v>
      </c>
    </row>
    <row r="57" spans="2:4" x14ac:dyDescent="0.25">
      <c r="B57" t="str">
        <f t="shared" ca="1" si="1"/>
        <v>A-ELA</v>
      </c>
      <c r="C57" t="str" cm="1">
        <f t="array" aca="1" ref="C57" ca="1">INDEX(Tabla5[codigo],ROUND(RAND()*45,0)+1)</f>
        <v>BAL</v>
      </c>
      <c r="D57" t="str" cm="1">
        <f t="array" aca="1" ref="D57" ca="1">INDEX(Tabla8[id_calle],ROUND(RAND()*45,0)+1)</f>
        <v>ELA</v>
      </c>
    </row>
    <row r="58" spans="2:4" x14ac:dyDescent="0.25">
      <c r="B58" t="str">
        <f t="shared" ca="1" si="1"/>
        <v>D-AYO</v>
      </c>
      <c r="C58" t="str" cm="1">
        <f t="array" aca="1" ref="C58" ca="1">INDEX(Tabla5[codigo],ROUND(RAND()*45,0)+1)</f>
        <v>BAD</v>
      </c>
      <c r="D58" t="str" cm="1">
        <f t="array" aca="1" ref="D58" ca="1">INDEX(Tabla8[id_calle],ROUND(RAND()*45,0)+1)</f>
        <v>MAYO</v>
      </c>
    </row>
    <row r="59" spans="2:4" x14ac:dyDescent="0.25">
      <c r="B59" t="str">
        <f t="shared" ca="1" si="1"/>
        <v>U-IDA</v>
      </c>
      <c r="C59" t="str" cm="1">
        <f t="array" aca="1" ref="C59" ca="1">INDEX(Tabla5[codigo],ROUND(RAND()*45,0)+1)</f>
        <v>ORU</v>
      </c>
      <c r="D59" t="str" cm="1">
        <f t="array" aca="1" ref="D59" ca="1">INDEX(Tabla8[id_calle],ROUND(RAND()*45,0)+1)</f>
        <v>IDAD</v>
      </c>
    </row>
    <row r="60" spans="2:4" x14ac:dyDescent="0.25">
      <c r="B60" t="str">
        <f t="shared" ca="1" si="1"/>
        <v>U-TIC</v>
      </c>
      <c r="C60" t="str" cm="1">
        <f t="array" aca="1" ref="C60" ca="1">INDEX(Tabla5[codigo],ROUND(RAND()*45,0)+1)</f>
        <v>BUR</v>
      </c>
      <c r="D60" t="str" cm="1">
        <f t="array" aca="1" ref="D60" ca="1">INDEX(Tabla8[id_calle],ROUND(RAND()*45,0)+1)</f>
        <v>USTIC</v>
      </c>
    </row>
    <row r="61" spans="2:4" x14ac:dyDescent="0.25">
      <c r="B61" t="str">
        <f t="shared" ca="1" si="1"/>
        <v>G-IDA</v>
      </c>
      <c r="C61" t="str" cm="1">
        <f t="array" aca="1" ref="C61" ca="1">INDEX(Tabla5[codigo],ROUND(RAND()*45,0)+1)</f>
        <v>GUI</v>
      </c>
      <c r="D61" t="str" cm="1">
        <f t="array" aca="1" ref="D61" ca="1">INDEX(Tabla8[id_calle],ROUND(RAND()*45,0)+1)</f>
        <v>NIDA</v>
      </c>
    </row>
    <row r="62" spans="2:4" x14ac:dyDescent="0.25">
      <c r="B62" t="str">
        <f t="shared" ca="1" si="1"/>
        <v>G-LLE</v>
      </c>
      <c r="C62" t="str" cm="1">
        <f t="array" aca="1" ref="C62" ca="1">INDEX(Tabla5[codigo],ROUND(RAND()*45,0)+1)</f>
        <v>LAG</v>
      </c>
      <c r="D62" t="str" cm="1">
        <f t="array" aca="1" ref="D62" ca="1">INDEX(Tabla8[id_calle],ROUND(RAND()*45,0)+1)</f>
        <v>CALLE</v>
      </c>
    </row>
    <row r="63" spans="2:4" x14ac:dyDescent="0.25">
      <c r="B63" t="str">
        <f t="shared" ca="1" si="1"/>
        <v>M-SOL</v>
      </c>
      <c r="C63" t="str" cm="1">
        <f t="array" aca="1" ref="C63" ca="1">INDEX(Tabla5[codigo],ROUND(RAND()*45,0)+1)</f>
        <v>ALM</v>
      </c>
      <c r="D63" t="str" cm="1">
        <f t="array" aca="1" ref="D63" ca="1">INDEX(Tabla8[id_calle],ROUND(RAND()*45,0)+1)</f>
        <v>SOL</v>
      </c>
    </row>
    <row r="64" spans="2:4" x14ac:dyDescent="0.25">
      <c r="B64" t="str">
        <f t="shared" ca="1" si="1"/>
        <v>M-ÑA2</v>
      </c>
      <c r="C64" t="str" cm="1">
        <f t="array" aca="1" ref="C64" ca="1">INDEX(Tabla5[codigo],ROUND(RAND()*45,0)+1)</f>
        <v>MAL</v>
      </c>
      <c r="D64" t="str" cm="1">
        <f t="array" aca="1" ref="D64" ca="1">INDEX(Tabla8[id_calle],ROUND(RAND()*45,0)+1)</f>
        <v>AÑA2</v>
      </c>
    </row>
    <row r="65" spans="2:4" x14ac:dyDescent="0.25">
      <c r="B65" t="str">
        <f t="shared" ca="1" si="1"/>
        <v>B-AD1</v>
      </c>
      <c r="C65" t="str" cm="1">
        <f t="array" aca="1" ref="C65" ca="1">INDEX(Tabla5[codigo],ROUND(RAND()*45,0)+1)</f>
        <v>ALB</v>
      </c>
      <c r="D65" t="str" cm="1">
        <f t="array" aca="1" ref="D65" ca="1">INDEX(Tabla8[id_calle],ROUND(RAND()*45,0)+1)</f>
        <v>DAD1</v>
      </c>
    </row>
    <row r="66" spans="2:4" x14ac:dyDescent="0.25">
      <c r="B66" t="str">
        <f t="shared" ca="1" si="1"/>
        <v>V-IDA</v>
      </c>
      <c r="C66" t="str" cm="1">
        <f t="array" aca="1" ref="C66" ca="1">INDEX(Tabla5[codigo],ROUND(RAND()*45,0)+1)</f>
        <v>AVA</v>
      </c>
      <c r="D66" t="str" cm="1">
        <f t="array" aca="1" ref="D66" ca="1">INDEX(Tabla8[id_calle],ROUND(RAND()*45,0)+1)</f>
        <v>NIDA</v>
      </c>
    </row>
    <row r="67" spans="2:4" x14ac:dyDescent="0.25">
      <c r="B67" t="str">
        <f t="shared" ca="1" si="1"/>
        <v>R-LED</v>
      </c>
      <c r="C67" t="str" cm="1">
        <f t="array" aca="1" ref="C67" ca="1">INDEX(Tabla5[codigo],ROUND(RAND()*45,0)+1)</f>
        <v>TER</v>
      </c>
      <c r="D67" t="str" cm="1">
        <f t="array" aca="1" ref="D67" ca="1">INDEX(Tabla8[id_calle],ROUND(RAND()*45,0)+1)</f>
        <v>LEDE</v>
      </c>
    </row>
    <row r="68" spans="2:4" x14ac:dyDescent="0.25">
      <c r="B68" t="str">
        <f t="shared" ca="1" si="1"/>
        <v>S-ADE</v>
      </c>
      <c r="C68" t="str" cm="1">
        <f t="array" aca="1" ref="C68" ca="1">INDEX(Tabla5[codigo],ROUND(RAND()*45,0)+1)</f>
        <v>STA</v>
      </c>
      <c r="D68" t="str" cm="1">
        <f t="array" aca="1" ref="D68" ca="1">INDEX(Tabla8[id_calle],ROUND(RAND()*45,0)+1)</f>
        <v>DADE</v>
      </c>
    </row>
    <row r="69" spans="2:4" x14ac:dyDescent="0.25">
      <c r="B69" t="str">
        <f t="shared" ca="1" si="1"/>
        <v>A-LAY</v>
      </c>
      <c r="C69" t="str" cm="1">
        <f t="array" aca="1" ref="C69" ca="1">INDEX(Tabla5[codigo],ROUND(RAND()*45,0)+1)</f>
        <v>AVA</v>
      </c>
      <c r="D69" t="str" cm="1">
        <f t="array" aca="1" ref="D69" ca="1">INDEX(Tabla8[id_calle],ROUND(RAND()*45,0)+1)</f>
        <v>PLAY</v>
      </c>
    </row>
    <row r="70" spans="2:4" x14ac:dyDescent="0.25">
      <c r="B70" t="str">
        <f t="shared" ca="1" si="1"/>
        <v>N-DEL</v>
      </c>
      <c r="C70" t="str" cm="1">
        <f t="array" aca="1" ref="C70" ca="1">INDEX(Tabla5[codigo],ROUND(RAND()*45,0)+1)</f>
        <v>PON</v>
      </c>
      <c r="D70" t="str" cm="1">
        <f t="array" aca="1" ref="D70" ca="1">INDEX(Tabla8[id_calle],ROUND(RAND()*45,0)+1)</f>
        <v>DEL</v>
      </c>
    </row>
    <row r="71" spans="2:4" x14ac:dyDescent="0.25">
      <c r="B71" t="str">
        <f t="shared" ca="1" si="1"/>
        <v>L-ADE</v>
      </c>
      <c r="C71" t="str" cm="1">
        <f t="array" aca="1" ref="C71" ca="1">INDEX(Tabla5[codigo],ROUND(RAND()*45,0)+1)</f>
        <v>ALM</v>
      </c>
      <c r="D71" t="str" cm="1">
        <f t="array" aca="1" ref="D71" ca="1">INDEX(Tabla8[id_calle],ROUND(RAND()*45,0)+1)</f>
        <v>DADE</v>
      </c>
    </row>
    <row r="72" spans="2:4" x14ac:dyDescent="0.25">
      <c r="B72" t="str">
        <f t="shared" ca="1" si="1"/>
        <v>I-DEL</v>
      </c>
      <c r="C72" t="str" cm="1">
        <f t="array" aca="1" ref="C72" ca="1">INDEX(Tabla5[codigo],ROUND(RAND()*45,0)+1)</f>
        <v>ALI</v>
      </c>
      <c r="D72" t="str" cm="1">
        <f t="array" aca="1" ref="D72" ca="1">INDEX(Tabla8[id_calle],ROUND(RAND()*45,0)+1)</f>
        <v>DELA</v>
      </c>
    </row>
    <row r="73" spans="2:4" x14ac:dyDescent="0.25">
      <c r="B73" t="str">
        <f t="shared" ca="1" si="1"/>
        <v>A-IDA</v>
      </c>
      <c r="C73" t="str" cm="1">
        <f t="array" aca="1" ref="C73" ca="1">INDEX(Tabla5[codigo],ROUND(RAND()*45,0)+1)</f>
        <v>ALI</v>
      </c>
      <c r="D73" t="str" cm="1">
        <f t="array" aca="1" ref="D73" ca="1">INDEX(Tabla8[id_calle],ROUND(RAND()*45,0)+1)</f>
        <v>IDAD</v>
      </c>
    </row>
    <row r="74" spans="2:4" x14ac:dyDescent="0.25">
      <c r="B74" t="str">
        <f t="shared" ca="1" si="1"/>
        <v>P-STI</v>
      </c>
      <c r="C74" t="str" cm="1">
        <f t="array" aca="1" ref="C74" ca="1">INDEX(Tabla5[codigo],ROUND(RAND()*45,0)+1)</f>
        <v>PON</v>
      </c>
      <c r="D74" t="str" cm="1">
        <f t="array" aca="1" ref="D74" ca="1">INDEX(Tabla8[id_calle],ROUND(RAND()*45,0)+1)</f>
        <v>USTIC</v>
      </c>
    </row>
    <row r="75" spans="2:4" x14ac:dyDescent="0.25">
      <c r="B75" t="str">
        <f t="shared" ca="1" si="1"/>
        <v>E-DEL</v>
      </c>
      <c r="C75" t="str" cm="1">
        <f t="array" aca="1" ref="C75" ca="1">INDEX(Tabla5[codigo],ROUND(RAND()*45,0)+1)</f>
        <v>CUE</v>
      </c>
      <c r="D75" t="str" cm="1">
        <f t="array" aca="1" ref="D75" ca="1">INDEX(Tabla8[id_calle],ROUND(RAND()*45,0)+1)</f>
        <v>DEL</v>
      </c>
    </row>
    <row r="76" spans="2:4" x14ac:dyDescent="0.25">
      <c r="B76" t="str">
        <f t="shared" ref="B76:B139" ca="1" si="2">CONCATENATE(UPPER(SUBSTITUTE(MID(C76,RANDBETWEEN(1,LEN(C76)),1)," ","")),"-",UPPER(SUBSTITUTE(MID(D76,RANDBETWEEN(1,LEN(D76)-2),3)," ","")))</f>
        <v>A-ADE</v>
      </c>
      <c r="C76" t="str" cm="1">
        <f t="array" aca="1" ref="C76" ca="1">INDEX(Tabla5[codigo],ROUND(RAND()*45,0)+1)</f>
        <v>AVA</v>
      </c>
      <c r="D76" t="str" cm="1">
        <f t="array" aca="1" ref="D76" ca="1">INDEX(Tabla8[id_calle],ROUND(RAND()*45,0)+1)</f>
        <v>ADE</v>
      </c>
    </row>
    <row r="77" spans="2:4" x14ac:dyDescent="0.25">
      <c r="B77" t="str">
        <f t="shared" ca="1" si="2"/>
        <v>S-LLE</v>
      </c>
      <c r="C77" t="str" cm="1">
        <f t="array" aca="1" ref="C77" ca="1">INDEX(Tabla5[codigo],ROUND(RAND()*45,0)+1)</f>
        <v>STA</v>
      </c>
      <c r="D77" t="str" cm="1">
        <f t="array" aca="1" ref="D77" ca="1">INDEX(Tabla8[id_calle],ROUND(RAND()*45,0)+1)</f>
        <v>CALLE</v>
      </c>
    </row>
    <row r="78" spans="2:4" x14ac:dyDescent="0.25">
      <c r="B78" t="str">
        <f t="shared" ca="1" si="2"/>
        <v>L-INA</v>
      </c>
      <c r="C78" t="str" cm="1">
        <f t="array" aca="1" ref="C78" ca="1">INDEX(Tabla5[codigo],ROUND(RAND()*45,0)+1)</f>
        <v>ALI</v>
      </c>
      <c r="D78" t="str" cm="1">
        <f t="array" aca="1" ref="D78" ca="1">INDEX(Tabla8[id_calle],ROUND(RAND()*45,0)+1)</f>
        <v>OLINA</v>
      </c>
    </row>
    <row r="79" spans="2:4" x14ac:dyDescent="0.25">
      <c r="B79" t="str">
        <f t="shared" ca="1" si="2"/>
        <v>A-ELA</v>
      </c>
      <c r="C79" t="str" cm="1">
        <f t="array" aca="1" ref="C79" ca="1">INDEX(Tabla5[codigo],ROUND(RAND()*45,0)+1)</f>
        <v>BAL</v>
      </c>
      <c r="D79" t="str" cm="1">
        <f t="array" aca="1" ref="D79" ca="1">INDEX(Tabla8[id_calle],ROUND(RAND()*45,0)+1)</f>
        <v>ELA</v>
      </c>
    </row>
    <row r="80" spans="2:4" x14ac:dyDescent="0.25">
      <c r="B80" t="str">
        <f t="shared" ca="1" si="2"/>
        <v>I-CAL</v>
      </c>
      <c r="C80" t="str" cm="1">
        <f t="array" aca="1" ref="C80" ca="1">INDEX(Tabla5[codigo],ROUND(RAND()*45,0)+1)</f>
        <v>GUI</v>
      </c>
      <c r="D80" t="str" cm="1">
        <f t="array" aca="1" ref="D80" ca="1">INDEX(Tabla8[id_calle],ROUND(RAND()*45,0)+1)</f>
        <v>CALLE</v>
      </c>
    </row>
    <row r="81" spans="2:4" x14ac:dyDescent="0.25">
      <c r="B81" t="str">
        <f t="shared" ca="1" si="2"/>
        <v>G-TAD</v>
      </c>
      <c r="C81" t="str" cm="1">
        <f t="array" aca="1" ref="C81" ca="1">INDEX(Tabla5[codigo],ROUND(RAND()*45,0)+1)</f>
        <v>GIP</v>
      </c>
      <c r="D81" t="str" cm="1">
        <f t="array" aca="1" ref="D81" ca="1">INDEX(Tabla8[id_calle],ROUND(RAND()*45,0)+1)</f>
        <v>TAD2</v>
      </c>
    </row>
    <row r="82" spans="2:4" x14ac:dyDescent="0.25">
      <c r="B82" t="str">
        <f t="shared" ca="1" si="2"/>
        <v>E-ELA</v>
      </c>
      <c r="C82" t="str" cm="1">
        <f t="array" aca="1" ref="C82" ca="1">INDEX(Tabla5[codigo],ROUND(RAND()*45,0)+1)</f>
        <v>CEU</v>
      </c>
      <c r="D82" t="str" cm="1">
        <f t="array" aca="1" ref="D82" ca="1">INDEX(Tabla8[id_calle],ROUND(RAND()*45,0)+1)</f>
        <v>ELA</v>
      </c>
    </row>
    <row r="83" spans="2:4" x14ac:dyDescent="0.25">
      <c r="B83" t="str">
        <f t="shared" ca="1" si="2"/>
        <v>L-LCO</v>
      </c>
      <c r="C83" t="str" cm="1">
        <f t="array" aca="1" ref="C83" ca="1">INDEX(Tabla5[codigo],ROUND(RAND()*45,0)+1)</f>
        <v>LLE</v>
      </c>
      <c r="D83" t="str" cm="1">
        <f t="array" aca="1" ref="D83" ca="1">INDEX(Tabla8[id_calle],ROUND(RAND()*45,0)+1)</f>
        <v>LCON</v>
      </c>
    </row>
    <row r="84" spans="2:4" x14ac:dyDescent="0.25">
      <c r="B84" t="str">
        <f t="shared" ca="1" si="2"/>
        <v>B-LLE</v>
      </c>
      <c r="C84" t="str" cm="1">
        <f t="array" aca="1" ref="C84" ca="1">INDEX(Tabla5[codigo],ROUND(RAND()*45,0)+1)</f>
        <v>BAD</v>
      </c>
      <c r="D84" t="str" cm="1">
        <f t="array" aca="1" ref="D84" ca="1">INDEX(Tabla8[id_calle],ROUND(RAND()*45,0)+1)</f>
        <v>ALLE</v>
      </c>
    </row>
    <row r="85" spans="2:4" x14ac:dyDescent="0.25">
      <c r="B85" t="str">
        <f t="shared" ca="1" si="2"/>
        <v>R-LLE</v>
      </c>
      <c r="C85" t="str" cm="1">
        <f t="array" aca="1" ref="C85" ca="1">INDEX(Tabla5[codigo],ROUND(RAND()*45,0)+1)</f>
        <v>GRA</v>
      </c>
      <c r="D85" t="str" cm="1">
        <f t="array" aca="1" ref="D85" ca="1">INDEX(Tabla8[id_calle],ROUND(RAND()*45,0)+1)</f>
        <v>ALLE</v>
      </c>
    </row>
    <row r="86" spans="2:4" x14ac:dyDescent="0.25">
      <c r="B86" t="str">
        <f t="shared" ca="1" si="2"/>
        <v>C-LLE</v>
      </c>
      <c r="C86" t="str" cm="1">
        <f t="array" aca="1" ref="C86" ca="1">INDEX(Tabla5[codigo],ROUND(RAND()*45,0)+1)</f>
        <v>ACO</v>
      </c>
      <c r="D86" t="str" cm="1">
        <f t="array" aca="1" ref="D86" ca="1">INDEX(Tabla8[id_calle],ROUND(RAND()*45,0)+1)</f>
        <v>CALLE</v>
      </c>
    </row>
    <row r="87" spans="2:4" x14ac:dyDescent="0.25">
      <c r="B87" t="str">
        <f t="shared" ca="1" si="2"/>
        <v>R-ELA</v>
      </c>
      <c r="C87" t="str" cm="1">
        <f t="array" aca="1" ref="C87" ca="1">INDEX(Tabla5[codigo],ROUND(RAND()*45,0)+1)</f>
        <v>ORU</v>
      </c>
      <c r="D87" t="str" cm="1">
        <f t="array" aca="1" ref="D87" ca="1">INDEX(Tabla8[id_calle],ROUND(RAND()*45,0)+1)</f>
        <v>ELA</v>
      </c>
    </row>
    <row r="88" spans="2:4" x14ac:dyDescent="0.25">
      <c r="B88" t="str">
        <f t="shared" ca="1" si="2"/>
        <v>H-CAL</v>
      </c>
      <c r="C88" t="str" cm="1">
        <f t="array" aca="1" ref="C88" ca="1">INDEX(Tabla5[codigo],ROUND(RAND()*45,0)+1)</f>
        <v>HUE</v>
      </c>
      <c r="D88" t="str" cm="1">
        <f t="array" aca="1" ref="D88" ca="1">INDEX(Tabla8[id_calle],ROUND(RAND()*45,0)+1)</f>
        <v>CALLE</v>
      </c>
    </row>
    <row r="89" spans="2:4" x14ac:dyDescent="0.25">
      <c r="B89" t="str">
        <f t="shared" ca="1" si="2"/>
        <v>O-NJU</v>
      </c>
      <c r="C89" t="str" cm="1">
        <f t="array" aca="1" ref="C89" ca="1">INDEX(Tabla5[codigo],ROUND(RAND()*45,0)+1)</f>
        <v>LOG</v>
      </c>
      <c r="D89" t="str" cm="1">
        <f t="array" aca="1" ref="D89" ca="1">INDEX(Tabla8[id_calle],ROUND(RAND()*45,0)+1)</f>
        <v>ANJU</v>
      </c>
    </row>
    <row r="90" spans="2:4" x14ac:dyDescent="0.25">
      <c r="B90" t="str">
        <f t="shared" ca="1" si="2"/>
        <v>A-VEN</v>
      </c>
      <c r="C90" t="str" cm="1">
        <f t="array" aca="1" ref="C90" ca="1">INDEX(Tabla5[codigo],ROUND(RAND()*45,0)+1)</f>
        <v>LAG</v>
      </c>
      <c r="D90" t="str" cm="1">
        <f t="array" aca="1" ref="D90" ca="1">INDEX(Tabla8[id_calle],ROUND(RAND()*45,0)+1)</f>
        <v>AVENI</v>
      </c>
    </row>
    <row r="91" spans="2:4" x14ac:dyDescent="0.25">
      <c r="B91" t="str">
        <f t="shared" ca="1" si="2"/>
        <v>B-ELA</v>
      </c>
      <c r="C91" t="str" cm="1">
        <f t="array" aca="1" ref="C91" ca="1">INDEX(Tabla5[codigo],ROUND(RAND()*45,0)+1)</f>
        <v>BAL</v>
      </c>
      <c r="D91" t="str" cm="1">
        <f t="array" aca="1" ref="D91" ca="1">INDEX(Tabla8[id_calle],ROUND(RAND()*45,0)+1)</f>
        <v>DELA</v>
      </c>
    </row>
    <row r="92" spans="2:4" x14ac:dyDescent="0.25">
      <c r="B92" t="str">
        <f t="shared" ca="1" si="2"/>
        <v>E-LED</v>
      </c>
      <c r="C92" t="str" cm="1">
        <f t="array" aca="1" ref="C92" ca="1">INDEX(Tabla5[codigo],ROUND(RAND()*45,0)+1)</f>
        <v>LEP</v>
      </c>
      <c r="D92" t="str" cm="1">
        <f t="array" aca="1" ref="D92" ca="1">INDEX(Tabla8[id_calle],ROUND(RAND()*45,0)+1)</f>
        <v>LLED</v>
      </c>
    </row>
    <row r="93" spans="2:4" x14ac:dyDescent="0.25">
      <c r="B93" t="str">
        <f t="shared" ca="1" si="2"/>
        <v>R-AVE</v>
      </c>
      <c r="C93" t="str" cm="1">
        <f t="array" aca="1" ref="C93" ca="1">INDEX(Tabla5[codigo],ROUND(RAND()*45,0)+1)</f>
        <v>BAR</v>
      </c>
      <c r="D93" t="str" cm="1">
        <f t="array" aca="1" ref="D93" ca="1">INDEX(Tabla8[id_calle],ROUND(RAND()*45,0)+1)</f>
        <v>AVENI</v>
      </c>
    </row>
    <row r="94" spans="2:4" x14ac:dyDescent="0.25">
      <c r="B94" t="str">
        <f t="shared" ca="1" si="2"/>
        <v>U-AÑA</v>
      </c>
      <c r="C94" t="str" cm="1">
        <f t="array" aca="1" ref="C94" ca="1">INDEX(Tabla5[codigo],ROUND(RAND()*45,0)+1)</f>
        <v>GUI</v>
      </c>
      <c r="D94" t="str" cm="1">
        <f t="array" aca="1" ref="D94" ca="1">INDEX(Tabla8[id_calle],ROUND(RAND()*45,0)+1)</f>
        <v>AÑA2</v>
      </c>
    </row>
    <row r="95" spans="2:4" x14ac:dyDescent="0.25">
      <c r="B95" t="str">
        <f t="shared" ca="1" si="2"/>
        <v>E-ATI</v>
      </c>
      <c r="C95" t="str" cm="1">
        <f t="array" aca="1" ref="C95" ca="1">INDEX(Tabla5[codigo],ROUND(RAND()*45,0)+1)</f>
        <v>SEV</v>
      </c>
      <c r="D95" t="str" cm="1">
        <f t="array" aca="1" ref="D95" ca="1">INDEX(Tabla8[id_calle],ROUND(RAND()*45,0)+1)</f>
        <v>GRATI</v>
      </c>
    </row>
    <row r="96" spans="2:4" x14ac:dyDescent="0.25">
      <c r="B96" t="str">
        <f t="shared" ca="1" si="2"/>
        <v>L-LED</v>
      </c>
      <c r="C96" t="str" cm="1">
        <f t="array" aca="1" ref="C96" ca="1">INDEX(Tabla5[codigo],ROUND(RAND()*45,0)+1)</f>
        <v>ALA</v>
      </c>
      <c r="D96" t="str" cm="1">
        <f t="array" aca="1" ref="D96" ca="1">INDEX(Tabla8[id_calle],ROUND(RAND()*45,0)+1)</f>
        <v>LLED</v>
      </c>
    </row>
    <row r="97" spans="2:4" x14ac:dyDescent="0.25">
      <c r="B97" t="str">
        <f t="shared" ca="1" si="2"/>
        <v>C-ENI</v>
      </c>
      <c r="C97" t="str" cm="1">
        <f t="array" aca="1" ref="C97" ca="1">INDEX(Tabla5[codigo],ROUND(RAND()*45,0)+1)</f>
        <v>CAC</v>
      </c>
      <c r="D97" t="str" cm="1">
        <f t="array" aca="1" ref="D97" ca="1">INDEX(Tabla8[id_calle],ROUND(RAND()*45,0)+1)</f>
        <v>AVENI</v>
      </c>
    </row>
    <row r="98" spans="2:4" x14ac:dyDescent="0.25">
      <c r="B98" t="str">
        <f t="shared" ca="1" si="2"/>
        <v>A-AVE</v>
      </c>
      <c r="C98" t="str" cm="1">
        <f t="array" aca="1" ref="C98" ca="1">INDEX(Tabla5[codigo],ROUND(RAND()*45,0)+1)</f>
        <v>SAL</v>
      </c>
      <c r="D98" t="str" cm="1">
        <f t="array" aca="1" ref="D98" ca="1">INDEX(Tabla8[id_calle],ROUND(RAND()*45,0)+1)</f>
        <v>AVENI</v>
      </c>
    </row>
    <row r="99" spans="2:4" x14ac:dyDescent="0.25">
      <c r="B99" t="str">
        <f t="shared" ca="1" si="2"/>
        <v>C-ELA</v>
      </c>
      <c r="C99" t="str" cm="1">
        <f t="array" aca="1" ref="C99" ca="1">INDEX(Tabla5[codigo],ROUND(RAND()*45,0)+1)</f>
        <v>CAC</v>
      </c>
      <c r="D99" t="str" cm="1">
        <f t="array" aca="1" ref="D99" ca="1">INDEX(Tabla8[id_calle],ROUND(RAND()*45,0)+1)</f>
        <v>ELA</v>
      </c>
    </row>
    <row r="100" spans="2:4" x14ac:dyDescent="0.25">
      <c r="B100" t="str">
        <f t="shared" ca="1" si="2"/>
        <v>B-ELA</v>
      </c>
      <c r="C100" t="str" cm="1">
        <f t="array" aca="1" ref="C100" ca="1">INDEX(Tabla5[codigo],ROUND(RAND()*45,0)+1)</f>
        <v>BAL</v>
      </c>
      <c r="D100" t="str" cm="1">
        <f t="array" aca="1" ref="D100" ca="1">INDEX(Tabla8[id_calle],ROUND(RAND()*45,0)+1)</f>
        <v>ELA</v>
      </c>
    </row>
    <row r="101" spans="2:4" x14ac:dyDescent="0.25">
      <c r="B101" t="str">
        <f t="shared" ca="1" si="2"/>
        <v>A-DAD</v>
      </c>
      <c r="C101" t="str" cm="1">
        <f t="array" aca="1" ref="C101" ca="1">INDEX(Tabla5[codigo],ROUND(RAND()*45,0)+1)</f>
        <v>BAR</v>
      </c>
      <c r="D101" t="str" cm="1">
        <f t="array" aca="1" ref="D101" ca="1">INDEX(Tabla8[id_calle],ROUND(RAND()*45,0)+1)</f>
        <v>DADE</v>
      </c>
    </row>
    <row r="102" spans="2:4" x14ac:dyDescent="0.25">
      <c r="B102" t="str">
        <f t="shared" ca="1" si="2"/>
        <v>T-DAD</v>
      </c>
      <c r="C102" t="str" cm="1">
        <f t="array" aca="1" ref="C102" ca="1">INDEX(Tabla5[codigo],ROUND(RAND()*45,0)+1)</f>
        <v>TAL</v>
      </c>
      <c r="D102" t="str" cm="1">
        <f t="array" aca="1" ref="D102" ca="1">INDEX(Tabla8[id_calle],ROUND(RAND()*45,0)+1)</f>
        <v>IDAD</v>
      </c>
    </row>
    <row r="103" spans="2:4" x14ac:dyDescent="0.25">
      <c r="B103" t="str">
        <f t="shared" ca="1" si="2"/>
        <v>T-ADE</v>
      </c>
      <c r="C103" t="str" cm="1">
        <f t="array" aca="1" ref="C103" ca="1">INDEX(Tabla5[codigo],ROUND(RAND()*45,0)+1)</f>
        <v>STA</v>
      </c>
      <c r="D103" t="str" cm="1">
        <f t="array" aca="1" ref="D103" ca="1">INDEX(Tabla8[id_calle],ROUND(RAND()*45,0)+1)</f>
        <v>ADE</v>
      </c>
    </row>
    <row r="104" spans="2:4" x14ac:dyDescent="0.25">
      <c r="B104" t="str">
        <f t="shared" ca="1" si="2"/>
        <v>A-ALL</v>
      </c>
      <c r="C104" t="str" cm="1">
        <f t="array" aca="1" ref="C104" ca="1">INDEX(Tabla5[codigo],ROUND(RAND()*45,0)+1)</f>
        <v>JAE</v>
      </c>
      <c r="D104" t="str" cm="1">
        <f t="array" aca="1" ref="D104" ca="1">INDEX(Tabla8[id_calle],ROUND(RAND()*45,0)+1)</f>
        <v>CALLE</v>
      </c>
    </row>
    <row r="105" spans="2:4" x14ac:dyDescent="0.25">
      <c r="B105" t="str">
        <f t="shared" ca="1" si="2"/>
        <v>B-AVE</v>
      </c>
      <c r="C105" t="str" cm="1">
        <f t="array" aca="1" ref="C105" ca="1">INDEX(Tabla5[codigo],ROUND(RAND()*45,0)+1)</f>
        <v>ALB</v>
      </c>
      <c r="D105" t="str" cm="1">
        <f t="array" aca="1" ref="D105" ca="1">INDEX(Tabla8[id_calle],ROUND(RAND()*45,0)+1)</f>
        <v>AVENI</v>
      </c>
    </row>
    <row r="106" spans="2:4" x14ac:dyDescent="0.25">
      <c r="B106" t="str">
        <f t="shared" ca="1" si="2"/>
        <v>U-NID</v>
      </c>
      <c r="C106" t="str" cm="1">
        <f t="array" aca="1" ref="C106" ca="1">INDEX(Tabla5[codigo],ROUND(RAND()*45,0)+1)</f>
        <v>HUE</v>
      </c>
      <c r="D106" t="str" cm="1">
        <f t="array" aca="1" ref="D106" ca="1">INDEX(Tabla8[id_calle],ROUND(RAND()*45,0)+1)</f>
        <v>NIDA</v>
      </c>
    </row>
    <row r="107" spans="2:4" x14ac:dyDescent="0.25">
      <c r="B107" t="str">
        <f t="shared" ca="1" si="2"/>
        <v>V-LLE</v>
      </c>
      <c r="C107" t="str" cm="1">
        <f t="array" aca="1" ref="C107" ca="1">INDEX(Tabla5[codigo],ROUND(RAND()*45,0)+1)</f>
        <v>NAV</v>
      </c>
      <c r="D107" t="str" cm="1">
        <f t="array" aca="1" ref="D107" ca="1">INDEX(Tabla8[id_calle],ROUND(RAND()*45,0)+1)</f>
        <v>CALLE</v>
      </c>
    </row>
    <row r="108" spans="2:4" x14ac:dyDescent="0.25">
      <c r="B108" t="str">
        <f t="shared" ca="1" si="2"/>
        <v>E-LLE</v>
      </c>
      <c r="C108" t="str" cm="1">
        <f t="array" aca="1" ref="C108" ca="1">INDEX(Tabla5[codigo],ROUND(RAND()*45,0)+1)</f>
        <v>LLE</v>
      </c>
      <c r="D108" t="str" cm="1">
        <f t="array" aca="1" ref="D108" ca="1">INDEX(Tabla8[id_calle],ROUND(RAND()*45,0)+1)</f>
        <v>CALLE</v>
      </c>
    </row>
    <row r="109" spans="2:4" x14ac:dyDescent="0.25">
      <c r="B109" t="str">
        <f t="shared" ca="1" si="2"/>
        <v>T-ELA</v>
      </c>
      <c r="C109" t="str" cm="1">
        <f t="array" aca="1" ref="C109" ca="1">INDEX(Tabla5[codigo],ROUND(RAND()*45,0)+1)</f>
        <v>TER</v>
      </c>
      <c r="D109" t="str" cm="1">
        <f t="array" aca="1" ref="D109" ca="1">INDEX(Tabla8[id_calle],ROUND(RAND()*45,0)+1)</f>
        <v>ELA</v>
      </c>
    </row>
    <row r="110" spans="2:4" x14ac:dyDescent="0.25">
      <c r="B110" t="str">
        <f t="shared" ca="1" si="2"/>
        <v>A-NID</v>
      </c>
      <c r="C110" t="str" cm="1">
        <f t="array" aca="1" ref="C110" ca="1">INDEX(Tabla5[codigo],ROUND(RAND()*45,0)+1)</f>
        <v>ALM</v>
      </c>
      <c r="D110" t="str" cm="1">
        <f t="array" aca="1" ref="D110" ca="1">INDEX(Tabla8[id_calle],ROUND(RAND()*45,0)+1)</f>
        <v>NIDA</v>
      </c>
    </row>
    <row r="111" spans="2:4" x14ac:dyDescent="0.25">
      <c r="B111" t="str">
        <f t="shared" ca="1" si="2"/>
        <v>R-CAL</v>
      </c>
      <c r="C111" t="str" cm="1">
        <f t="array" aca="1" ref="C111" ca="1">INDEX(Tabla5[codigo],ROUND(RAND()*45,0)+1)</f>
        <v>TER</v>
      </c>
      <c r="D111" t="str" cm="1">
        <f t="array" aca="1" ref="D111" ca="1">INDEX(Tabla8[id_calle],ROUND(RAND()*45,0)+1)</f>
        <v>CALLE</v>
      </c>
    </row>
    <row r="112" spans="2:4" x14ac:dyDescent="0.25">
      <c r="B112" t="str">
        <f t="shared" ca="1" si="2"/>
        <v>E-VEN</v>
      </c>
      <c r="C112" t="str" cm="1">
        <f t="array" aca="1" ref="C112" ca="1">INDEX(Tabla5[codigo],ROUND(RAND()*45,0)+1)</f>
        <v>MEL</v>
      </c>
      <c r="D112" t="str" cm="1">
        <f t="array" aca="1" ref="D112" ca="1">INDEX(Tabla8[id_calle],ROUND(RAND()*45,0)+1)</f>
        <v>AVENI</v>
      </c>
    </row>
    <row r="113" spans="2:4" x14ac:dyDescent="0.25">
      <c r="B113" t="str">
        <f t="shared" ca="1" si="2"/>
        <v>U-CAL</v>
      </c>
      <c r="C113" t="str" cm="1">
        <f t="array" aca="1" ref="C113" ca="1">INDEX(Tabla5[codigo],ROUND(RAND()*45,0)+1)</f>
        <v>MUR</v>
      </c>
      <c r="D113" t="str" cm="1">
        <f t="array" aca="1" ref="D113" ca="1">INDEX(Tabla8[id_calle],ROUND(RAND()*45,0)+1)</f>
        <v>CALLE</v>
      </c>
    </row>
    <row r="114" spans="2:4" x14ac:dyDescent="0.25">
      <c r="B114" t="str">
        <f t="shared" ca="1" si="2"/>
        <v>M-LIN</v>
      </c>
      <c r="C114" t="str" cm="1">
        <f t="array" aca="1" ref="C114" ca="1">INDEX(Tabla5[codigo],ROUND(RAND()*45,0)+1)</f>
        <v>ALM</v>
      </c>
      <c r="D114" t="str" cm="1">
        <f t="array" aca="1" ref="D114" ca="1">INDEX(Tabla8[id_calle],ROUND(RAND()*45,0)+1)</f>
        <v>OLINA</v>
      </c>
    </row>
    <row r="115" spans="2:4" x14ac:dyDescent="0.25">
      <c r="B115" t="str">
        <f t="shared" ca="1" si="2"/>
        <v>O-LIN</v>
      </c>
      <c r="C115" t="str" cm="1">
        <f t="array" aca="1" ref="C115" ca="1">INDEX(Tabla5[codigo],ROUND(RAND()*45,0)+1)</f>
        <v>LOG</v>
      </c>
      <c r="D115" t="str" cm="1">
        <f t="array" aca="1" ref="D115" ca="1">INDEX(Tabla8[id_calle],ROUND(RAND()*45,0)+1)</f>
        <v>OLINA</v>
      </c>
    </row>
    <row r="116" spans="2:4" x14ac:dyDescent="0.25">
      <c r="B116" t="str">
        <f t="shared" ca="1" si="2"/>
        <v>O-LED</v>
      </c>
      <c r="C116" t="str" cm="1">
        <f t="array" aca="1" ref="C116" ca="1">INDEX(Tabla5[codigo],ROUND(RAND()*45,0)+1)</f>
        <v>SOR</v>
      </c>
      <c r="D116" t="str" cm="1">
        <f t="array" aca="1" ref="D116" ca="1">INDEX(Tabla8[id_calle],ROUND(RAND()*45,0)+1)</f>
        <v>LEDE</v>
      </c>
    </row>
    <row r="117" spans="2:4" x14ac:dyDescent="0.25">
      <c r="B117" t="str">
        <f t="shared" ca="1" si="2"/>
        <v>T-NID</v>
      </c>
      <c r="C117" t="str" cm="1">
        <f t="array" aca="1" ref="C117" ca="1">INDEX(Tabla5[codigo],ROUND(RAND()*45,0)+1)</f>
        <v>STA</v>
      </c>
      <c r="D117" t="str" cm="1">
        <f t="array" aca="1" ref="D117" ca="1">INDEX(Tabla8[id_calle],ROUND(RAND()*45,0)+1)</f>
        <v>NIDA</v>
      </c>
    </row>
    <row r="118" spans="2:4" x14ac:dyDescent="0.25">
      <c r="B118" t="str">
        <f t="shared" ca="1" si="2"/>
        <v>U-ADE</v>
      </c>
      <c r="C118" t="str" cm="1">
        <f t="array" aca="1" ref="C118" ca="1">INDEX(Tabla5[codigo],ROUND(RAND()*45,0)+1)</f>
        <v>ORU</v>
      </c>
      <c r="D118" t="str" cm="1">
        <f t="array" aca="1" ref="D118" ca="1">INDEX(Tabla8[id_calle],ROUND(RAND()*45,0)+1)</f>
        <v>ADE</v>
      </c>
    </row>
    <row r="119" spans="2:4" x14ac:dyDescent="0.25">
      <c r="B119" t="str">
        <f t="shared" ca="1" si="2"/>
        <v>M-LLE</v>
      </c>
      <c r="C119" t="str" cm="1">
        <f t="array" aca="1" ref="C119" ca="1">INDEX(Tabla5[codigo],ROUND(RAND()*45,0)+1)</f>
        <v>MUR</v>
      </c>
      <c r="D119" t="str" cm="1">
        <f t="array" aca="1" ref="D119" ca="1">INDEX(Tabla8[id_calle],ROUND(RAND()*45,0)+1)</f>
        <v>ALLE</v>
      </c>
    </row>
    <row r="120" spans="2:4" x14ac:dyDescent="0.25">
      <c r="B120" t="str">
        <f t="shared" ca="1" si="2"/>
        <v>L-LLE</v>
      </c>
      <c r="C120" t="str" cm="1">
        <f t="array" aca="1" ref="C120" ca="1">INDEX(Tabla5[codigo],ROUND(RAND()*45,0)+1)</f>
        <v>MAL</v>
      </c>
      <c r="D120" t="str" cm="1">
        <f t="array" aca="1" ref="D120" ca="1">INDEX(Tabla8[id_calle],ROUND(RAND()*45,0)+1)</f>
        <v>ALLE</v>
      </c>
    </row>
    <row r="121" spans="2:4" x14ac:dyDescent="0.25">
      <c r="B121" t="str">
        <f t="shared" ca="1" si="2"/>
        <v>L-NID</v>
      </c>
      <c r="C121" t="str" cm="1">
        <f t="array" aca="1" ref="C121" ca="1">INDEX(Tabla5[codigo],ROUND(RAND()*45,0)+1)</f>
        <v>ALB</v>
      </c>
      <c r="D121" t="str" cm="1">
        <f t="array" aca="1" ref="D121" ca="1">INDEX(Tabla8[id_calle],ROUND(RAND()*45,0)+1)</f>
        <v>NIDA</v>
      </c>
    </row>
    <row r="122" spans="2:4" x14ac:dyDescent="0.25">
      <c r="B122" t="str">
        <f t="shared" ca="1" si="2"/>
        <v>R-ELA</v>
      </c>
      <c r="C122" t="str" cm="1">
        <f t="array" aca="1" ref="C122" ca="1">INDEX(Tabla5[codigo],ROUND(RAND()*45,0)+1)</f>
        <v>TER</v>
      </c>
      <c r="D122" t="str" cm="1">
        <f t="array" aca="1" ref="D122" ca="1">INDEX(Tabla8[id_calle],ROUND(RAND()*45,0)+1)</f>
        <v>DELA</v>
      </c>
    </row>
    <row r="123" spans="2:4" x14ac:dyDescent="0.25">
      <c r="B123" t="str">
        <f t="shared" ca="1" si="2"/>
        <v>R-ELA</v>
      </c>
      <c r="C123" t="str" cm="1">
        <f t="array" aca="1" ref="C123" ca="1">INDEX(Tabla5[codigo],ROUND(RAND()*45,0)+1)</f>
        <v>TER</v>
      </c>
      <c r="D123" t="str" cm="1">
        <f t="array" aca="1" ref="D123" ca="1">INDEX(Tabla8[id_calle],ROUND(RAND()*45,0)+1)</f>
        <v>ELA</v>
      </c>
    </row>
    <row r="124" spans="2:4" x14ac:dyDescent="0.25">
      <c r="B124" t="str">
        <f t="shared" ca="1" si="2"/>
        <v>T-ADE</v>
      </c>
      <c r="C124" t="str" cm="1">
        <f t="array" aca="1" ref="C124" ca="1">INDEX(Tabla5[codigo],ROUND(RAND()*45,0)+1)</f>
        <v>TOE</v>
      </c>
      <c r="D124" t="str" cm="1">
        <f t="array" aca="1" ref="D124" ca="1">INDEX(Tabla8[id_calle],ROUND(RAND()*45,0)+1)</f>
        <v>DADE</v>
      </c>
    </row>
    <row r="125" spans="2:4" x14ac:dyDescent="0.25">
      <c r="B125" t="str">
        <f t="shared" ca="1" si="2"/>
        <v>G-ÑO1</v>
      </c>
      <c r="C125" t="str" cm="1">
        <f t="array" aca="1" ref="C125" ca="1">INDEX(Tabla5[codigo],ROUND(RAND()*45,0)+1)</f>
        <v>LAG</v>
      </c>
      <c r="D125" t="str" cm="1">
        <f t="array" aca="1" ref="D125" ca="1">INDEX(Tabla8[id_calle],ROUND(RAND()*45,0)+1)</f>
        <v>OÑO1</v>
      </c>
    </row>
    <row r="126" spans="2:4" x14ac:dyDescent="0.25">
      <c r="B126" t="str">
        <f t="shared" ca="1" si="2"/>
        <v>B-ALL</v>
      </c>
      <c r="C126" t="str" cm="1">
        <f t="array" aca="1" ref="C126" ca="1">INDEX(Tabla5[codigo],ROUND(RAND()*45,0)+1)</f>
        <v>BAD</v>
      </c>
      <c r="D126" t="str" cm="1">
        <f t="array" aca="1" ref="D126" ca="1">INDEX(Tabla8[id_calle],ROUND(RAND()*45,0)+1)</f>
        <v>CALLE</v>
      </c>
    </row>
    <row r="127" spans="2:4" x14ac:dyDescent="0.25">
      <c r="B127" t="str">
        <f t="shared" ca="1" si="2"/>
        <v>L-DEL</v>
      </c>
      <c r="C127" t="str" cm="1">
        <f t="array" aca="1" ref="C127" ca="1">INDEX(Tabla5[codigo],ROUND(RAND()*45,0)+1)</f>
        <v>ALI</v>
      </c>
      <c r="D127" t="str" cm="1">
        <f t="array" aca="1" ref="D127" ca="1">INDEX(Tabla8[id_calle],ROUND(RAND()*45,0)+1)</f>
        <v>DEL</v>
      </c>
    </row>
    <row r="128" spans="2:4" x14ac:dyDescent="0.25">
      <c r="B128" t="str">
        <f t="shared" ca="1" si="2"/>
        <v>A-LED</v>
      </c>
      <c r="C128" t="str" cm="1">
        <f t="array" aca="1" ref="C128" ca="1">INDEX(Tabla5[codigo],ROUND(RAND()*45,0)+1)</f>
        <v>BAR</v>
      </c>
      <c r="D128" t="str" cm="1">
        <f t="array" aca="1" ref="D128" ca="1">INDEX(Tabla8[id_calle],ROUND(RAND()*45,0)+1)</f>
        <v>LEDE</v>
      </c>
    </row>
    <row r="129" spans="2:4" x14ac:dyDescent="0.25">
      <c r="B129" t="str">
        <f t="shared" ca="1" si="2"/>
        <v>J-TIC</v>
      </c>
      <c r="C129" t="str" cm="1">
        <f t="array" aca="1" ref="C129" ca="1">INDEX(Tabla5[codigo],ROUND(RAND()*45,0)+1)</f>
        <v>JAE</v>
      </c>
      <c r="D129" t="str" cm="1">
        <f t="array" aca="1" ref="D129" ca="1">INDEX(Tabla8[id_calle],ROUND(RAND()*45,0)+1)</f>
        <v>USTIC</v>
      </c>
    </row>
    <row r="130" spans="2:4" x14ac:dyDescent="0.25">
      <c r="B130" t="str">
        <f t="shared" ca="1" si="2"/>
        <v>A-LAA</v>
      </c>
      <c r="C130" t="str" cm="1">
        <f t="array" aca="1" ref="C130" ca="1">INDEX(Tabla5[codigo],ROUND(RAND()*45,0)+1)</f>
        <v>GRA</v>
      </c>
      <c r="D130" t="str" cm="1">
        <f t="array" aca="1" ref="D130" ca="1">INDEX(Tabla8[id_calle],ROUND(RAND()*45,0)+1)</f>
        <v>LAA</v>
      </c>
    </row>
    <row r="131" spans="2:4" x14ac:dyDescent="0.25">
      <c r="B131" t="str">
        <f t="shared" ca="1" si="2"/>
        <v>L-STI</v>
      </c>
      <c r="C131" t="str" cm="1">
        <f t="array" aca="1" ref="C131" ca="1">INDEX(Tabla5[codigo],ROUND(RAND()*45,0)+1)</f>
        <v>TAL</v>
      </c>
      <c r="D131" t="str" cm="1">
        <f t="array" aca="1" ref="D131" ca="1">INDEX(Tabla8[id_calle],ROUND(RAND()*45,0)+1)</f>
        <v>USTIC</v>
      </c>
    </row>
    <row r="132" spans="2:4" x14ac:dyDescent="0.25">
      <c r="B132" t="str">
        <f t="shared" ca="1" si="2"/>
        <v>G-NID</v>
      </c>
      <c r="C132" t="str" cm="1">
        <f t="array" aca="1" ref="C132" ca="1">INDEX(Tabla5[codigo],ROUND(RAND()*45,0)+1)</f>
        <v>GUA</v>
      </c>
      <c r="D132" t="str" cm="1">
        <f t="array" aca="1" ref="D132" ca="1">INDEX(Tabla8[id_calle],ROUND(RAND()*45,0)+1)</f>
        <v>NIDA</v>
      </c>
    </row>
    <row r="133" spans="2:4" x14ac:dyDescent="0.25">
      <c r="B133" t="str">
        <f t="shared" ca="1" si="2"/>
        <v>L-OR2</v>
      </c>
      <c r="C133" t="str" cm="1">
        <f t="array" aca="1" ref="C133" ca="1">INDEX(Tabla5[codigo],ROUND(RAND()*45,0)+1)</f>
        <v>LEP</v>
      </c>
      <c r="D133" t="str" cm="1">
        <f t="array" aca="1" ref="D133" ca="1">INDEX(Tabla8[id_calle],ROUND(RAND()*45,0)+1)</f>
        <v>MOR2</v>
      </c>
    </row>
    <row r="134" spans="2:4" x14ac:dyDescent="0.25">
      <c r="B134" t="str">
        <f t="shared" ca="1" si="2"/>
        <v>O-ADE</v>
      </c>
      <c r="C134" t="str" cm="1">
        <f t="array" aca="1" ref="C134" ca="1">INDEX(Tabla5[codigo],ROUND(RAND()*45,0)+1)</f>
        <v>ORE</v>
      </c>
      <c r="D134" t="str" cm="1">
        <f t="array" aca="1" ref="D134" ca="1">INDEX(Tabla8[id_calle],ROUND(RAND()*45,0)+1)</f>
        <v>DADE</v>
      </c>
    </row>
    <row r="135" spans="2:4" x14ac:dyDescent="0.25">
      <c r="B135" t="str">
        <f t="shared" ca="1" si="2"/>
        <v>L-PLA</v>
      </c>
      <c r="C135" t="str" cm="1">
        <f t="array" aca="1" ref="C135" ca="1">INDEX(Tabla5[codigo],ROUND(RAND()*45,0)+1)</f>
        <v>BAL</v>
      </c>
      <c r="D135" t="str" cm="1">
        <f t="array" aca="1" ref="D135" ca="1">INDEX(Tabla8[id_calle],ROUND(RAND()*45,0)+1)</f>
        <v>PLAY</v>
      </c>
    </row>
    <row r="136" spans="2:4" x14ac:dyDescent="0.25">
      <c r="B136" t="str">
        <f t="shared" ca="1" si="2"/>
        <v>I-FEL</v>
      </c>
      <c r="C136" t="str" cm="1">
        <f t="array" aca="1" ref="C136" ca="1">INDEX(Tabla5[codigo],ROUND(RAND()*45,0)+1)</f>
        <v>GIP</v>
      </c>
      <c r="D136" t="str" cm="1">
        <f t="array" aca="1" ref="D136" ca="1">INDEX(Tabla8[id_calle],ROUND(RAND()*45,0)+1)</f>
        <v>FELI</v>
      </c>
    </row>
    <row r="137" spans="2:4" x14ac:dyDescent="0.25">
      <c r="B137" t="str">
        <f t="shared" ca="1" si="2"/>
        <v>U-AD2</v>
      </c>
      <c r="C137" t="str" cm="1">
        <f t="array" aca="1" ref="C137" ca="1">INDEX(Tabla5[codigo],ROUND(RAND()*45,0)+1)</f>
        <v>HUV</v>
      </c>
      <c r="D137" t="str" cm="1">
        <f t="array" aca="1" ref="D137" ca="1">INDEX(Tabla8[id_calle],ROUND(RAND()*45,0)+1)</f>
        <v>TAD2</v>
      </c>
    </row>
    <row r="138" spans="2:4" x14ac:dyDescent="0.25">
      <c r="B138" t="str">
        <f t="shared" ca="1" si="2"/>
        <v>U-CAL</v>
      </c>
      <c r="C138" t="str" cm="1">
        <f t="array" aca="1" ref="C138" ca="1">INDEX(Tabla5[codigo],ROUND(RAND()*45,0)+1)</f>
        <v>CIU</v>
      </c>
      <c r="D138" t="str" cm="1">
        <f t="array" aca="1" ref="D138" ca="1">INDEX(Tabla8[id_calle],ROUND(RAND()*45,0)+1)</f>
        <v>CALLE</v>
      </c>
    </row>
    <row r="139" spans="2:4" x14ac:dyDescent="0.25">
      <c r="B139" t="str">
        <f t="shared" ca="1" si="2"/>
        <v>L-DAD</v>
      </c>
      <c r="C139" t="str" cm="1">
        <f t="array" aca="1" ref="C139" ca="1">INDEX(Tabla5[codigo],ROUND(RAND()*45,0)+1)</f>
        <v>LPA</v>
      </c>
      <c r="D139" t="str" cm="1">
        <f t="array" aca="1" ref="D139" ca="1">INDEX(Tabla8[id_calle],ROUND(RAND()*45,0)+1)</f>
        <v>DAD1</v>
      </c>
    </row>
    <row r="140" spans="2:4" x14ac:dyDescent="0.25">
      <c r="B140" t="str">
        <f t="shared" ref="B140:B203" ca="1" si="3">CONCATENATE(UPPER(SUBSTITUTE(MID(C140,RANDBETWEEN(1,LEN(C140)),1)," ","")),"-",UPPER(SUBSTITUTE(MID(D140,RANDBETWEEN(1,LEN(D140)-2),3)," ","")))</f>
        <v>D-NTO</v>
      </c>
      <c r="C140" t="str" cm="1">
        <f t="array" aca="1" ref="C140" ca="1">INDEX(Tabla5[codigo],ROUND(RAND()*45,0)+1)</f>
        <v>CAD</v>
      </c>
      <c r="D140" t="str" cm="1">
        <f t="array" aca="1" ref="D140" ca="1">INDEX(Tabla8[id_calle],ROUND(RAND()*45,0)+1)</f>
        <v>ENTO</v>
      </c>
    </row>
    <row r="141" spans="2:4" x14ac:dyDescent="0.25">
      <c r="B141" t="str">
        <f t="shared" ca="1" si="3"/>
        <v>O-DEL</v>
      </c>
      <c r="C141" t="str" cm="1">
        <f t="array" aca="1" ref="C141" ca="1">INDEX(Tabla5[codigo],ROUND(RAND()*45,0)+1)</f>
        <v>TOE</v>
      </c>
      <c r="D141" t="str" cm="1">
        <f t="array" aca="1" ref="D141" ca="1">INDEX(Tabla8[id_calle],ROUND(RAND()*45,0)+1)</f>
        <v>DEL</v>
      </c>
    </row>
    <row r="142" spans="2:4" x14ac:dyDescent="0.25">
      <c r="B142" t="str">
        <f t="shared" ca="1" si="3"/>
        <v>A-DÓN</v>
      </c>
      <c r="C142" t="str" cm="1">
        <f t="array" aca="1" ref="C142" ca="1">INDEX(Tabla5[codigo],ROUND(RAND()*45,0)+1)</f>
        <v>CAD</v>
      </c>
      <c r="D142" t="str" cm="1">
        <f t="array" aca="1" ref="D142" ca="1">INDEX(Tabla8[id_calle],ROUND(RAND()*45,0)+1)</f>
        <v>RDÓN</v>
      </c>
    </row>
    <row r="143" spans="2:4" x14ac:dyDescent="0.25">
      <c r="B143" t="str">
        <f t="shared" ca="1" si="3"/>
        <v>O-DEL</v>
      </c>
      <c r="C143" t="str" cm="1">
        <f t="array" aca="1" ref="C143" ca="1">INDEX(Tabla5[codigo],ROUND(RAND()*45,0)+1)</f>
        <v>LOG</v>
      </c>
      <c r="D143" t="str" cm="1">
        <f t="array" aca="1" ref="D143" ca="1">INDEX(Tabla8[id_calle],ROUND(RAND()*45,0)+1)</f>
        <v>DEL</v>
      </c>
    </row>
    <row r="144" spans="2:4" x14ac:dyDescent="0.25">
      <c r="B144" t="str">
        <f t="shared" ca="1" si="3"/>
        <v>O-ADE</v>
      </c>
      <c r="C144" t="str" cm="1">
        <f t="array" aca="1" ref="C144" ca="1">INDEX(Tabla5[codigo],ROUND(RAND()*45,0)+1)</f>
        <v>PON</v>
      </c>
      <c r="D144" t="str" cm="1">
        <f t="array" aca="1" ref="D144" ca="1">INDEX(Tabla8[id_calle],ROUND(RAND()*45,0)+1)</f>
        <v>DADE</v>
      </c>
    </row>
    <row r="145" spans="2:4" x14ac:dyDescent="0.25">
      <c r="B145" t="str">
        <f t="shared" ca="1" si="3"/>
        <v>P-LED</v>
      </c>
      <c r="C145" t="str" cm="1">
        <f t="array" aca="1" ref="C145" ca="1">INDEX(Tabla5[codigo],ROUND(RAND()*45,0)+1)</f>
        <v>LPA</v>
      </c>
      <c r="D145" t="str" cm="1">
        <f t="array" aca="1" ref="D145" ca="1">INDEX(Tabla8[id_calle],ROUND(RAND()*45,0)+1)</f>
        <v>LLED</v>
      </c>
    </row>
    <row r="146" spans="2:4" x14ac:dyDescent="0.25">
      <c r="B146" t="str">
        <f t="shared" ca="1" si="3"/>
        <v>G-MAY</v>
      </c>
      <c r="C146" t="str" cm="1">
        <f t="array" aca="1" ref="C146" ca="1">INDEX(Tabla5[codigo],ROUND(RAND()*45,0)+1)</f>
        <v>GRA</v>
      </c>
      <c r="D146" t="str" cm="1">
        <f t="array" aca="1" ref="D146" ca="1">INDEX(Tabla8[id_calle],ROUND(RAND()*45,0)+1)</f>
        <v>MAYO</v>
      </c>
    </row>
    <row r="147" spans="2:4" x14ac:dyDescent="0.25">
      <c r="B147" t="str">
        <f t="shared" ca="1" si="3"/>
        <v>O-ELA</v>
      </c>
      <c r="C147" t="str" cm="1">
        <f t="array" aca="1" ref="C147" ca="1">INDEX(Tabla5[codigo],ROUND(RAND()*45,0)+1)</f>
        <v>SOR</v>
      </c>
      <c r="D147" t="str" cm="1">
        <f t="array" aca="1" ref="D147" ca="1">INDEX(Tabla8[id_calle],ROUND(RAND()*45,0)+1)</f>
        <v>ELA</v>
      </c>
    </row>
    <row r="148" spans="2:4" x14ac:dyDescent="0.25">
      <c r="B148" t="str">
        <f t="shared" ca="1" si="3"/>
        <v>E-INA</v>
      </c>
      <c r="C148" t="str" cm="1">
        <f t="array" aca="1" ref="C148" ca="1">INDEX(Tabla5[codigo],ROUND(RAND()*45,0)+1)</f>
        <v>CUE</v>
      </c>
      <c r="D148" t="str" cm="1">
        <f t="array" aca="1" ref="D148" ca="1">INDEX(Tabla8[id_calle],ROUND(RAND()*45,0)+1)</f>
        <v>OLINA</v>
      </c>
    </row>
    <row r="149" spans="2:4" x14ac:dyDescent="0.25">
      <c r="B149" t="str">
        <f t="shared" ca="1" si="3"/>
        <v>A-DAD</v>
      </c>
      <c r="C149" t="str" cm="1">
        <f t="array" aca="1" ref="C149" ca="1">INDEX(Tabla5[codigo],ROUND(RAND()*45,0)+1)</f>
        <v>ACO</v>
      </c>
      <c r="D149" t="str" cm="1">
        <f t="array" aca="1" ref="D149" ca="1">INDEX(Tabla8[id_calle],ROUND(RAND()*45,0)+1)</f>
        <v>DADE</v>
      </c>
    </row>
    <row r="150" spans="2:4" x14ac:dyDescent="0.25">
      <c r="B150" t="str">
        <f t="shared" ca="1" si="3"/>
        <v>A-ENI</v>
      </c>
      <c r="C150" t="str" cm="1">
        <f t="array" aca="1" ref="C150" ca="1">INDEX(Tabla5[codigo],ROUND(RAND()*45,0)+1)</f>
        <v>AVA</v>
      </c>
      <c r="D150" t="str" cm="1">
        <f t="array" aca="1" ref="D150" ca="1">INDEX(Tabla8[id_calle],ROUND(RAND()*45,0)+1)</f>
        <v>AVENI</v>
      </c>
    </row>
    <row r="151" spans="2:4" x14ac:dyDescent="0.25">
      <c r="B151" t="str">
        <f t="shared" ca="1" si="3"/>
        <v>J-FEL</v>
      </c>
      <c r="C151" t="str" cm="1">
        <f t="array" aca="1" ref="C151" ca="1">INDEX(Tabla5[codigo],ROUND(RAND()*45,0)+1)</f>
        <v>JAE</v>
      </c>
      <c r="D151" t="str" cm="1">
        <f t="array" aca="1" ref="D151" ca="1">INDEX(Tabla8[id_calle],ROUND(RAND()*45,0)+1)</f>
        <v>FELI</v>
      </c>
    </row>
    <row r="152" spans="2:4" x14ac:dyDescent="0.25">
      <c r="B152" t="str">
        <f t="shared" ca="1" si="3"/>
        <v>A-ÑA2</v>
      </c>
      <c r="C152" t="str" cm="1">
        <f t="array" aca="1" ref="C152" ca="1">INDEX(Tabla5[codigo],ROUND(RAND()*45,0)+1)</f>
        <v>SAL</v>
      </c>
      <c r="D152" t="str" cm="1">
        <f t="array" aca="1" ref="D152" ca="1">INDEX(Tabla8[id_calle],ROUND(RAND()*45,0)+1)</f>
        <v>AÑA2</v>
      </c>
    </row>
    <row r="153" spans="2:4" x14ac:dyDescent="0.25">
      <c r="B153" t="str">
        <f t="shared" ca="1" si="3"/>
        <v>O-LLE</v>
      </c>
      <c r="C153" t="str" cm="1">
        <f t="array" aca="1" ref="C153" ca="1">INDEX(Tabla5[codigo],ROUND(RAND()*45,0)+1)</f>
        <v>ORU</v>
      </c>
      <c r="D153" t="str" cm="1">
        <f t="array" aca="1" ref="D153" ca="1">INDEX(Tabla8[id_calle],ROUND(RAND()*45,0)+1)</f>
        <v>CALLE</v>
      </c>
    </row>
    <row r="154" spans="2:4" x14ac:dyDescent="0.25">
      <c r="B154" t="str">
        <f t="shared" ca="1" si="3"/>
        <v>L-ADE</v>
      </c>
      <c r="C154" t="str" cm="1">
        <f t="array" aca="1" ref="C154" ca="1">INDEX(Tabla5[codigo],ROUND(RAND()*45,0)+1)</f>
        <v>LEP</v>
      </c>
      <c r="D154" t="str" cm="1">
        <f t="array" aca="1" ref="D154" ca="1">INDEX(Tabla8[id_calle],ROUND(RAND()*45,0)+1)</f>
        <v>ADE</v>
      </c>
    </row>
    <row r="155" spans="2:4" x14ac:dyDescent="0.25">
      <c r="B155" t="str">
        <f t="shared" ca="1" si="3"/>
        <v>I-UEÑ</v>
      </c>
      <c r="C155" t="str" cm="1">
        <f t="array" aca="1" ref="C155" ca="1">INDEX(Tabla5[codigo],ROUND(RAND()*45,0)+1)</f>
        <v>GUI</v>
      </c>
      <c r="D155" t="str" cm="1">
        <f t="array" aca="1" ref="D155" ca="1">INDEX(Tabla8[id_calle],ROUND(RAND()*45,0)+1)</f>
        <v>UEÑO</v>
      </c>
    </row>
    <row r="156" spans="2:4" x14ac:dyDescent="0.25">
      <c r="B156" t="str">
        <f t="shared" ca="1" si="3"/>
        <v>L-TAD</v>
      </c>
      <c r="C156" t="str" cm="1">
        <f t="array" aca="1" ref="C156" ca="1">INDEX(Tabla5[codigo],ROUND(RAND()*45,0)+1)</f>
        <v>ALI</v>
      </c>
      <c r="D156" t="str" cm="1">
        <f t="array" aca="1" ref="D156" ca="1">INDEX(Tabla8[id_calle],ROUND(RAND()*45,0)+1)</f>
        <v>TAD2</v>
      </c>
    </row>
    <row r="157" spans="2:4" x14ac:dyDescent="0.25">
      <c r="B157" t="str">
        <f t="shared" ca="1" si="3"/>
        <v>A-ADE</v>
      </c>
      <c r="C157" t="str" cm="1">
        <f t="array" aca="1" ref="C157" ca="1">INDEX(Tabla5[codigo],ROUND(RAND()*45,0)+1)</f>
        <v>CAD</v>
      </c>
      <c r="D157" t="str" cm="1">
        <f t="array" aca="1" ref="D157" ca="1">INDEX(Tabla8[id_calle],ROUND(RAND()*45,0)+1)</f>
        <v>ADE</v>
      </c>
    </row>
    <row r="158" spans="2:4" x14ac:dyDescent="0.25">
      <c r="B158" t="str">
        <f t="shared" ca="1" si="3"/>
        <v>N-LED</v>
      </c>
      <c r="C158" t="str" cm="1">
        <f t="array" aca="1" ref="C158" ca="1">INDEX(Tabla5[codigo],ROUND(RAND()*45,0)+1)</f>
        <v>NAV</v>
      </c>
      <c r="D158" t="str" cm="1">
        <f t="array" aca="1" ref="D158" ca="1">INDEX(Tabla8[id_calle],ROUND(RAND()*45,0)+1)</f>
        <v>LEDE</v>
      </c>
    </row>
    <row r="159" spans="2:4" x14ac:dyDescent="0.25">
      <c r="B159" t="str">
        <f t="shared" ca="1" si="3"/>
        <v>J-OR2</v>
      </c>
      <c r="C159" t="str" cm="1">
        <f t="array" aca="1" ref="C159" ca="1">INDEX(Tabla5[codigo],ROUND(RAND()*45,0)+1)</f>
        <v>JAE</v>
      </c>
      <c r="D159" t="str" cm="1">
        <f t="array" aca="1" ref="D159" ca="1">INDEX(Tabla8[id_calle],ROUND(RAND()*45,0)+1)</f>
        <v>MOR2</v>
      </c>
    </row>
    <row r="160" spans="2:4" x14ac:dyDescent="0.25">
      <c r="B160" t="str">
        <f t="shared" ca="1" si="3"/>
        <v>O-NID</v>
      </c>
      <c r="C160" t="str" cm="1">
        <f t="array" aca="1" ref="C160" ca="1">INDEX(Tabla5[codigo],ROUND(RAND()*45,0)+1)</f>
        <v>ORU</v>
      </c>
      <c r="D160" t="str" cm="1">
        <f t="array" aca="1" ref="D160" ca="1">INDEX(Tabla8[id_calle],ROUND(RAND()*45,0)+1)</f>
        <v>NIDA</v>
      </c>
    </row>
    <row r="161" spans="2:4" x14ac:dyDescent="0.25">
      <c r="B161" t="str">
        <f t="shared" ca="1" si="3"/>
        <v>G-AVE</v>
      </c>
      <c r="C161" t="str" cm="1">
        <f t="array" aca="1" ref="C161" ca="1">INDEX(Tabla5[codigo],ROUND(RAND()*45,0)+1)</f>
        <v>LOG</v>
      </c>
      <c r="D161" t="str" cm="1">
        <f t="array" aca="1" ref="D161" ca="1">INDEX(Tabla8[id_calle],ROUND(RAND()*45,0)+1)</f>
        <v>AVENI</v>
      </c>
    </row>
    <row r="162" spans="2:4" x14ac:dyDescent="0.25">
      <c r="B162" t="str">
        <f t="shared" ca="1" si="3"/>
        <v>C-ELI</v>
      </c>
      <c r="C162" t="str" cm="1">
        <f t="array" aca="1" ref="C162" ca="1">INDEX(Tabla5[codigo],ROUND(RAND()*45,0)+1)</f>
        <v>CUE</v>
      </c>
      <c r="D162" t="str" cm="1">
        <f t="array" aca="1" ref="D162" ca="1">INDEX(Tabla8[id_calle],ROUND(RAND()*45,0)+1)</f>
        <v>FELI</v>
      </c>
    </row>
    <row r="163" spans="2:4" x14ac:dyDescent="0.25">
      <c r="B163" t="str">
        <f t="shared" ca="1" si="3"/>
        <v>E-FEL</v>
      </c>
      <c r="C163" t="str" cm="1">
        <f t="array" aca="1" ref="C163" ca="1">INDEX(Tabla5[codigo],ROUND(RAND()*45,0)+1)</f>
        <v>ORE</v>
      </c>
      <c r="D163" t="str" cm="1">
        <f t="array" aca="1" ref="D163" ca="1">INDEX(Tabla8[id_calle],ROUND(RAND()*45,0)+1)</f>
        <v>FELI</v>
      </c>
    </row>
    <row r="164" spans="2:4" x14ac:dyDescent="0.25">
      <c r="B164" t="str">
        <f t="shared" ca="1" si="3"/>
        <v>R-PLA</v>
      </c>
      <c r="C164" t="str" cm="1">
        <f t="array" aca="1" ref="C164" ca="1">INDEX(Tabla5[codigo],ROUND(RAND()*45,0)+1)</f>
        <v>BAR</v>
      </c>
      <c r="D164" t="str" cm="1">
        <f t="array" aca="1" ref="D164" ca="1">INDEX(Tabla8[id_calle],ROUND(RAND()*45,0)+1)</f>
        <v>PLAY</v>
      </c>
    </row>
    <row r="165" spans="2:4" x14ac:dyDescent="0.25">
      <c r="B165" t="str">
        <f t="shared" ca="1" si="3"/>
        <v>C-DAD</v>
      </c>
      <c r="C165" t="str" cm="1">
        <f t="array" aca="1" ref="C165" ca="1">INDEX(Tabla5[codigo],ROUND(RAND()*45,0)+1)</f>
        <v>CUE</v>
      </c>
      <c r="D165" t="str" cm="1">
        <f t="array" aca="1" ref="D165" ca="1">INDEX(Tabla8[id_calle],ROUND(RAND()*45,0)+1)</f>
        <v>DADE</v>
      </c>
    </row>
    <row r="166" spans="2:4" x14ac:dyDescent="0.25">
      <c r="B166" t="str">
        <f t="shared" ca="1" si="3"/>
        <v>S-IDA</v>
      </c>
      <c r="C166" t="str" cm="1">
        <f t="array" aca="1" ref="C166" ca="1">INDEX(Tabla5[codigo],ROUND(RAND()*45,0)+1)</f>
        <v>SAL</v>
      </c>
      <c r="D166" t="str" cm="1">
        <f t="array" aca="1" ref="D166" ca="1">INDEX(Tabla8[id_calle],ROUND(RAND()*45,0)+1)</f>
        <v>NIDA</v>
      </c>
    </row>
    <row r="167" spans="2:4" x14ac:dyDescent="0.25">
      <c r="B167" t="str">
        <f t="shared" ca="1" si="3"/>
        <v>G-LLE</v>
      </c>
      <c r="C167" t="str" cm="1">
        <f t="array" aca="1" ref="C167" ca="1">INDEX(Tabla5[codigo],ROUND(RAND()*45,0)+1)</f>
        <v>GIP</v>
      </c>
      <c r="D167" t="str" cm="1">
        <f t="array" aca="1" ref="D167" ca="1">INDEX(Tabla8[id_calle],ROUND(RAND()*45,0)+1)</f>
        <v>ALLE</v>
      </c>
    </row>
    <row r="168" spans="2:4" x14ac:dyDescent="0.25">
      <c r="B168" t="str">
        <f t="shared" ca="1" si="3"/>
        <v>O-CAL</v>
      </c>
      <c r="C168" t="str" cm="1">
        <f t="array" aca="1" ref="C168" ca="1">INDEX(Tabla5[codigo],ROUND(RAND()*45,0)+1)</f>
        <v>SOR</v>
      </c>
      <c r="D168" t="str" cm="1">
        <f t="array" aca="1" ref="D168" ca="1">INDEX(Tabla8[id_calle],ROUND(RAND()*45,0)+1)</f>
        <v>CALLE</v>
      </c>
    </row>
    <row r="169" spans="2:4" x14ac:dyDescent="0.25">
      <c r="B169" t="str">
        <f t="shared" ca="1" si="3"/>
        <v>I-CAL</v>
      </c>
      <c r="C169" t="str" cm="1">
        <f t="array" aca="1" ref="C169" ca="1">INDEX(Tabla5[codigo],ROUND(RAND()*45,0)+1)</f>
        <v>GIP</v>
      </c>
      <c r="D169" t="str" cm="1">
        <f t="array" aca="1" ref="D169" ca="1">INDEX(Tabla8[id_calle],ROUND(RAND()*45,0)+1)</f>
        <v>CALLE</v>
      </c>
    </row>
    <row r="170" spans="2:4" x14ac:dyDescent="0.25">
      <c r="B170" t="str">
        <f t="shared" ca="1" si="3"/>
        <v>I-RDÓ</v>
      </c>
      <c r="C170" t="str" cm="1">
        <f t="array" aca="1" ref="C170" ca="1">INDEX(Tabla5[codigo],ROUND(RAND()*45,0)+1)</f>
        <v>GIP</v>
      </c>
      <c r="D170" t="str" cm="1">
        <f t="array" aca="1" ref="D170" ca="1">INDEX(Tabla8[id_calle],ROUND(RAND()*45,0)+1)</f>
        <v>RDÓN</v>
      </c>
    </row>
    <row r="171" spans="2:4" x14ac:dyDescent="0.25">
      <c r="B171" t="str">
        <f t="shared" ca="1" si="3"/>
        <v>A-ELA</v>
      </c>
      <c r="C171" t="str" cm="1">
        <f t="array" aca="1" ref="C171" ca="1">INDEX(Tabla5[codigo],ROUND(RAND()*45,0)+1)</f>
        <v>AVA</v>
      </c>
      <c r="D171" t="str" cm="1">
        <f t="array" aca="1" ref="D171" ca="1">INDEX(Tabla8[id_calle],ROUND(RAND()*45,0)+1)</f>
        <v>ELA</v>
      </c>
    </row>
    <row r="172" spans="2:4" x14ac:dyDescent="0.25">
      <c r="B172" t="str">
        <f t="shared" ca="1" si="3"/>
        <v>D-NID</v>
      </c>
      <c r="C172" t="str" cm="1">
        <f t="array" aca="1" ref="C172" ca="1">INDEX(Tabla5[codigo],ROUND(RAND()*45,0)+1)</f>
        <v>CAD</v>
      </c>
      <c r="D172" t="str" cm="1">
        <f t="array" aca="1" ref="D172" ca="1">INDEX(Tabla8[id_calle],ROUND(RAND()*45,0)+1)</f>
        <v>NIDA</v>
      </c>
    </row>
    <row r="173" spans="2:4" x14ac:dyDescent="0.25">
      <c r="B173" t="str">
        <f t="shared" ca="1" si="3"/>
        <v>B-VEN</v>
      </c>
      <c r="C173" t="str" cm="1">
        <f t="array" aca="1" ref="C173" ca="1">INDEX(Tabla5[codigo],ROUND(RAND()*45,0)+1)</f>
        <v>BAR</v>
      </c>
      <c r="D173" t="str" cm="1">
        <f t="array" aca="1" ref="D173" ca="1">INDEX(Tabla8[id_calle],ROUND(RAND()*45,0)+1)</f>
        <v>AVENI</v>
      </c>
    </row>
    <row r="174" spans="2:4" x14ac:dyDescent="0.25">
      <c r="B174" t="str">
        <f t="shared" ca="1" si="3"/>
        <v>A-ELA</v>
      </c>
      <c r="C174" t="str" cm="1">
        <f t="array" aca="1" ref="C174" ca="1">INDEX(Tabla5[codigo],ROUND(RAND()*45,0)+1)</f>
        <v>CAC</v>
      </c>
      <c r="D174" t="str" cm="1">
        <f t="array" aca="1" ref="D174" ca="1">INDEX(Tabla8[id_calle],ROUND(RAND()*45,0)+1)</f>
        <v>DELA</v>
      </c>
    </row>
    <row r="175" spans="2:4" x14ac:dyDescent="0.25">
      <c r="B175" t="str">
        <f t="shared" ca="1" si="3"/>
        <v>A-DEL</v>
      </c>
      <c r="C175" t="str" cm="1">
        <f t="array" aca="1" ref="C175" ca="1">INDEX(Tabla5[codigo],ROUND(RAND()*45,0)+1)</f>
        <v>MAL</v>
      </c>
      <c r="D175" t="str" cm="1">
        <f t="array" aca="1" ref="D175" ca="1">INDEX(Tabla8[id_calle],ROUND(RAND()*45,0)+1)</f>
        <v>DEL</v>
      </c>
    </row>
    <row r="176" spans="2:4" x14ac:dyDescent="0.25">
      <c r="B176" t="str">
        <f t="shared" ca="1" si="3"/>
        <v>A-NID</v>
      </c>
      <c r="C176" t="str" cm="1">
        <f t="array" aca="1" ref="C176" ca="1">INDEX(Tabla5[codigo],ROUND(RAND()*45,0)+1)</f>
        <v>PAL</v>
      </c>
      <c r="D176" t="str" cm="1">
        <f t="array" aca="1" ref="D176" ca="1">INDEX(Tabla8[id_calle],ROUND(RAND()*45,0)+1)</f>
        <v>NIDA</v>
      </c>
    </row>
    <row r="177" spans="2:4" x14ac:dyDescent="0.25">
      <c r="B177" t="str">
        <f t="shared" ca="1" si="3"/>
        <v>E-FEL</v>
      </c>
      <c r="C177" t="str" cm="1">
        <f t="array" aca="1" ref="C177" ca="1">INDEX(Tabla5[codigo],ROUND(RAND()*45,0)+1)</f>
        <v>TER</v>
      </c>
      <c r="D177" t="str" cm="1">
        <f t="array" aca="1" ref="D177" ca="1">INDEX(Tabla8[id_calle],ROUND(RAND()*45,0)+1)</f>
        <v>FELI</v>
      </c>
    </row>
    <row r="178" spans="2:4" x14ac:dyDescent="0.25">
      <c r="B178" t="str">
        <f t="shared" ca="1" si="3"/>
        <v>A-EDE</v>
      </c>
      <c r="C178" t="str" cm="1">
        <f t="array" aca="1" ref="C178" ca="1">INDEX(Tabla5[codigo],ROUND(RAND()*45,0)+1)</f>
        <v>LPA</v>
      </c>
      <c r="D178" t="str" cm="1">
        <f t="array" aca="1" ref="D178" ca="1">INDEX(Tabla8[id_calle],ROUND(RAND()*45,0)+1)</f>
        <v>LEDE</v>
      </c>
    </row>
    <row r="179" spans="2:4" x14ac:dyDescent="0.25">
      <c r="B179" t="str">
        <f t="shared" ca="1" si="3"/>
        <v>A-VEN</v>
      </c>
      <c r="C179" t="str" cm="1">
        <f t="array" aca="1" ref="C179" ca="1">INDEX(Tabla5[codigo],ROUND(RAND()*45,0)+1)</f>
        <v>ALA</v>
      </c>
      <c r="D179" t="str" cm="1">
        <f t="array" aca="1" ref="D179" ca="1">INDEX(Tabla8[id_calle],ROUND(RAND()*45,0)+1)</f>
        <v>AVENI</v>
      </c>
    </row>
    <row r="180" spans="2:4" x14ac:dyDescent="0.25">
      <c r="B180" t="str">
        <f t="shared" ca="1" si="3"/>
        <v>P-DEL</v>
      </c>
      <c r="C180" t="str" cm="1">
        <f t="array" aca="1" ref="C180" ca="1">INDEX(Tabla5[codigo],ROUND(RAND()*45,0)+1)</f>
        <v>PAL</v>
      </c>
      <c r="D180" t="str" cm="1">
        <f t="array" aca="1" ref="D180" ca="1">INDEX(Tabla8[id_calle],ROUND(RAND()*45,0)+1)</f>
        <v>DEL</v>
      </c>
    </row>
    <row r="181" spans="2:4" x14ac:dyDescent="0.25">
      <c r="B181" t="str">
        <f t="shared" ca="1" si="3"/>
        <v>J-ELA</v>
      </c>
      <c r="C181" t="str" cm="1">
        <f t="array" aca="1" ref="C181" ca="1">INDEX(Tabla5[codigo],ROUND(RAND()*45,0)+1)</f>
        <v>JAE</v>
      </c>
      <c r="D181" t="str" cm="1">
        <f t="array" aca="1" ref="D181" ca="1">INDEX(Tabla8[id_calle],ROUND(RAND()*45,0)+1)</f>
        <v>ELA</v>
      </c>
    </row>
    <row r="182" spans="2:4" x14ac:dyDescent="0.25">
      <c r="B182" t="str">
        <f t="shared" ca="1" si="3"/>
        <v>O-TAD</v>
      </c>
      <c r="C182" t="str" cm="1">
        <f t="array" aca="1" ref="C182" ca="1">INDEX(Tabla5[codigo],ROUND(RAND()*45,0)+1)</f>
        <v>SOR</v>
      </c>
      <c r="D182" t="str" cm="1">
        <f t="array" aca="1" ref="D182" ca="1">INDEX(Tabla8[id_calle],ROUND(RAND()*45,0)+1)</f>
        <v>TAD2</v>
      </c>
    </row>
    <row r="183" spans="2:4" x14ac:dyDescent="0.25">
      <c r="B183" t="str">
        <f t="shared" ca="1" si="3"/>
        <v>R-AVE</v>
      </c>
      <c r="C183" t="str" cm="1">
        <f t="array" aca="1" ref="C183" ca="1">INDEX(Tabla5[codigo],ROUND(RAND()*45,0)+1)</f>
        <v>COR</v>
      </c>
      <c r="D183" t="str" cm="1">
        <f t="array" aca="1" ref="D183" ca="1">INDEX(Tabla8[id_calle],ROUND(RAND()*45,0)+1)</f>
        <v>AVENI</v>
      </c>
    </row>
    <row r="184" spans="2:4" x14ac:dyDescent="0.25">
      <c r="B184" t="str">
        <f t="shared" ca="1" si="3"/>
        <v>M-ALL</v>
      </c>
      <c r="C184" t="str" cm="1">
        <f t="array" aca="1" ref="C184" ca="1">INDEX(Tabla5[codigo],ROUND(RAND()*45,0)+1)</f>
        <v>MUR</v>
      </c>
      <c r="D184" t="str" cm="1">
        <f t="array" aca="1" ref="D184" ca="1">INDEX(Tabla8[id_calle],ROUND(RAND()*45,0)+1)</f>
        <v>ALLE</v>
      </c>
    </row>
    <row r="185" spans="2:4" x14ac:dyDescent="0.25">
      <c r="B185" t="str">
        <f t="shared" ca="1" si="3"/>
        <v>G-NID</v>
      </c>
      <c r="C185" t="str" cm="1">
        <f t="array" aca="1" ref="C185" ca="1">INDEX(Tabla5[codigo],ROUND(RAND()*45,0)+1)</f>
        <v>GRA</v>
      </c>
      <c r="D185" t="str" cm="1">
        <f t="array" aca="1" ref="D185" ca="1">INDEX(Tabla8[id_calle],ROUND(RAND()*45,0)+1)</f>
        <v>NIDA</v>
      </c>
    </row>
    <row r="186" spans="2:4" x14ac:dyDescent="0.25">
      <c r="B186" t="str">
        <f t="shared" ca="1" si="3"/>
        <v>U-DEL</v>
      </c>
      <c r="C186" t="str" cm="1">
        <f t="array" aca="1" ref="C186" ca="1">INDEX(Tabla5[codigo],ROUND(RAND()*45,0)+1)</f>
        <v>CUE</v>
      </c>
      <c r="D186" t="str" cm="1">
        <f t="array" aca="1" ref="D186" ca="1">INDEX(Tabla8[id_calle],ROUND(RAND()*45,0)+1)</f>
        <v>DEL</v>
      </c>
    </row>
    <row r="187" spans="2:4" x14ac:dyDescent="0.25">
      <c r="B187" t="str">
        <f t="shared" ca="1" si="3"/>
        <v>O-UE1</v>
      </c>
      <c r="C187" t="str" cm="1">
        <f t="array" aca="1" ref="C187" ca="1">INDEX(Tabla5[codigo],ROUND(RAND()*45,0)+1)</f>
        <v>ACO</v>
      </c>
      <c r="D187" t="str" cm="1">
        <f t="array" aca="1" ref="D187" ca="1">INDEX(Tabla8[id_calle],ROUND(RAND()*45,0)+1)</f>
        <v>UE18</v>
      </c>
    </row>
    <row r="188" spans="2:4" x14ac:dyDescent="0.25">
      <c r="B188" t="str">
        <f t="shared" ca="1" si="3"/>
        <v>A-ADE</v>
      </c>
      <c r="C188" t="str" cm="1">
        <f t="array" aca="1" ref="C188" ca="1">INDEX(Tabla5[codigo],ROUND(RAND()*45,0)+1)</f>
        <v>JAE</v>
      </c>
      <c r="D188" t="str" cm="1">
        <f t="array" aca="1" ref="D188" ca="1">INDEX(Tabla8[id_calle],ROUND(RAND()*45,0)+1)</f>
        <v>DADE</v>
      </c>
    </row>
    <row r="189" spans="2:4" x14ac:dyDescent="0.25">
      <c r="B189" t="str">
        <f t="shared" ca="1" si="3"/>
        <v>C-NJU</v>
      </c>
      <c r="C189" t="str" cm="1">
        <f t="array" aca="1" ref="C189" ca="1">INDEX(Tabla5[codigo],ROUND(RAND()*45,0)+1)</f>
        <v>COR</v>
      </c>
      <c r="D189" t="str" cm="1">
        <f t="array" aca="1" ref="D189" ca="1">INDEX(Tabla8[id_calle],ROUND(RAND()*45,0)+1)</f>
        <v>ANJU</v>
      </c>
    </row>
    <row r="190" spans="2:4" x14ac:dyDescent="0.25">
      <c r="B190" t="str">
        <f t="shared" ca="1" si="3"/>
        <v>I-EÑO</v>
      </c>
      <c r="C190" t="str" cm="1">
        <f t="array" aca="1" ref="C190" ca="1">INDEX(Tabla5[codigo],ROUND(RAND()*45,0)+1)</f>
        <v>GUI</v>
      </c>
      <c r="D190" t="str" cm="1">
        <f t="array" aca="1" ref="D190" ca="1">INDEX(Tabla8[id_calle],ROUND(RAND()*45,0)+1)</f>
        <v>UEÑO</v>
      </c>
    </row>
    <row r="191" spans="2:4" x14ac:dyDescent="0.25">
      <c r="B191" t="str">
        <f t="shared" ca="1" si="3"/>
        <v>A-ELI</v>
      </c>
      <c r="C191" t="str" cm="1">
        <f t="array" aca="1" ref="C191" ca="1">INDEX(Tabla5[codigo],ROUND(RAND()*45,0)+1)</f>
        <v>NAV</v>
      </c>
      <c r="D191" t="str" cm="1">
        <f t="array" aca="1" ref="D191" ca="1">INDEX(Tabla8[id_calle],ROUND(RAND()*45,0)+1)</f>
        <v>FELI</v>
      </c>
    </row>
    <row r="192" spans="2:4" x14ac:dyDescent="0.25">
      <c r="B192" t="str">
        <f t="shared" ca="1" si="3"/>
        <v>R-VEN</v>
      </c>
      <c r="C192" t="str" cm="1">
        <f t="array" aca="1" ref="C192" ca="1">INDEX(Tabla5[codigo],ROUND(RAND()*45,0)+1)</f>
        <v>ORU</v>
      </c>
      <c r="D192" t="str" cm="1">
        <f t="array" aca="1" ref="D192" ca="1">INDEX(Tabla8[id_calle],ROUND(RAND()*45,0)+1)</f>
        <v>AVENI</v>
      </c>
    </row>
    <row r="193" spans="2:4" x14ac:dyDescent="0.25">
      <c r="B193" t="str">
        <f t="shared" ca="1" si="3"/>
        <v>A-LED</v>
      </c>
      <c r="C193" t="str" cm="1">
        <f t="array" aca="1" ref="C193" ca="1">INDEX(Tabla5[codigo],ROUND(RAND()*45,0)+1)</f>
        <v>CAS</v>
      </c>
      <c r="D193" t="str" cm="1">
        <f t="array" aca="1" ref="D193" ca="1">INDEX(Tabla8[id_calle],ROUND(RAND()*45,0)+1)</f>
        <v>LEDE</v>
      </c>
    </row>
    <row r="194" spans="2:4" x14ac:dyDescent="0.25">
      <c r="B194" t="str">
        <f t="shared" ca="1" si="3"/>
        <v>A-IDA</v>
      </c>
      <c r="C194" t="str" cm="1">
        <f t="array" aca="1" ref="C194" ca="1">INDEX(Tabla5[codigo],ROUND(RAND()*45,0)+1)</f>
        <v>AVA</v>
      </c>
      <c r="D194" t="str" cm="1">
        <f t="array" aca="1" ref="D194" ca="1">INDEX(Tabla8[id_calle],ROUND(RAND()*45,0)+1)</f>
        <v>NIDA</v>
      </c>
    </row>
    <row r="195" spans="2:4" x14ac:dyDescent="0.25">
      <c r="B195" t="str">
        <f t="shared" ca="1" si="3"/>
        <v>L-RDÓ</v>
      </c>
      <c r="C195" t="str" cm="1">
        <f t="array" aca="1" ref="C195" ca="1">INDEX(Tabla5[codigo],ROUND(RAND()*45,0)+1)</f>
        <v>LLE</v>
      </c>
      <c r="D195" t="str" cm="1">
        <f t="array" aca="1" ref="D195" ca="1">INDEX(Tabla8[id_calle],ROUND(RAND()*45,0)+1)</f>
        <v>RDÓN</v>
      </c>
    </row>
    <row r="196" spans="2:4" x14ac:dyDescent="0.25">
      <c r="B196" t="str">
        <f t="shared" ca="1" si="3"/>
        <v>R-MOR</v>
      </c>
      <c r="C196" t="str" cm="1">
        <f t="array" aca="1" ref="C196" ca="1">INDEX(Tabla5[codigo],ROUND(RAND()*45,0)+1)</f>
        <v>MUR</v>
      </c>
      <c r="D196" t="str" cm="1">
        <f t="array" aca="1" ref="D196" ca="1">INDEX(Tabla8[id_calle],ROUND(RAND()*45,0)+1)</f>
        <v>MOR2</v>
      </c>
    </row>
    <row r="197" spans="2:4" x14ac:dyDescent="0.25">
      <c r="B197" t="str">
        <f t="shared" ca="1" si="3"/>
        <v>A-STI</v>
      </c>
      <c r="C197" t="str" cm="1">
        <f t="array" aca="1" ref="C197" ca="1">INDEX(Tabla5[codigo],ROUND(RAND()*45,0)+1)</f>
        <v>GRA</v>
      </c>
      <c r="D197" t="str" cm="1">
        <f t="array" aca="1" ref="D197" ca="1">INDEX(Tabla8[id_calle],ROUND(RAND()*45,0)+1)</f>
        <v>USTIC</v>
      </c>
    </row>
    <row r="198" spans="2:4" x14ac:dyDescent="0.25">
      <c r="B198" t="str">
        <f t="shared" ca="1" si="3"/>
        <v>M-AD1</v>
      </c>
      <c r="C198" t="str" cm="1">
        <f t="array" aca="1" ref="C198" ca="1">INDEX(Tabla5[codigo],ROUND(RAND()*45,0)+1)</f>
        <v>MEL</v>
      </c>
      <c r="D198" t="str" cm="1">
        <f t="array" aca="1" ref="D198" ca="1">INDEX(Tabla8[id_calle],ROUND(RAND()*45,0)+1)</f>
        <v>DAD1</v>
      </c>
    </row>
    <row r="199" spans="2:4" x14ac:dyDescent="0.25">
      <c r="B199" t="str">
        <f t="shared" ca="1" si="3"/>
        <v>R-ELA</v>
      </c>
      <c r="C199" t="str" cm="1">
        <f t="array" aca="1" ref="C199" ca="1">INDEX(Tabla5[codigo],ROUND(RAND()*45,0)+1)</f>
        <v>GRA</v>
      </c>
      <c r="D199" t="str" cm="1">
        <f t="array" aca="1" ref="D199" ca="1">INDEX(Tabla8[id_calle],ROUND(RAND()*45,0)+1)</f>
        <v>DELA</v>
      </c>
    </row>
    <row r="200" spans="2:4" x14ac:dyDescent="0.25">
      <c r="B200" t="str">
        <f t="shared" ca="1" si="3"/>
        <v>C-ELA</v>
      </c>
      <c r="C200" t="str" cm="1">
        <f t="array" aca="1" ref="C200" ca="1">INDEX(Tabla5[codigo],ROUND(RAND()*45,0)+1)</f>
        <v>CAS</v>
      </c>
      <c r="D200" t="str" cm="1">
        <f t="array" aca="1" ref="D200" ca="1">INDEX(Tabla8[id_calle],ROUND(RAND()*45,0)+1)</f>
        <v>ELA</v>
      </c>
    </row>
    <row r="201" spans="2:4" x14ac:dyDescent="0.25">
      <c r="B201" t="str">
        <f t="shared" ca="1" si="3"/>
        <v>R-IDA</v>
      </c>
      <c r="C201" t="str" cm="1">
        <f t="array" aca="1" ref="C201" ca="1">INDEX(Tabla5[codigo],ROUND(RAND()*45,0)+1)</f>
        <v>MUR</v>
      </c>
      <c r="D201" t="str" cm="1">
        <f t="array" aca="1" ref="D201" ca="1">INDEX(Tabla8[id_calle],ROUND(RAND()*45,0)+1)</f>
        <v>IDAD</v>
      </c>
    </row>
    <row r="202" spans="2:4" x14ac:dyDescent="0.25">
      <c r="B202" t="str">
        <f t="shared" ca="1" si="3"/>
        <v>A-IDA</v>
      </c>
      <c r="C202" t="str" cm="1">
        <f t="array" aca="1" ref="C202" ca="1">INDEX(Tabla5[codigo],ROUND(RAND()*45,0)+1)</f>
        <v>STA</v>
      </c>
      <c r="D202" t="str" cm="1">
        <f t="array" aca="1" ref="D202" ca="1">INDEX(Tabla8[id_calle],ROUND(RAND()*45,0)+1)</f>
        <v>NIDA</v>
      </c>
    </row>
    <row r="203" spans="2:4" x14ac:dyDescent="0.25">
      <c r="B203" t="str">
        <f t="shared" ca="1" si="3"/>
        <v>U-OR2</v>
      </c>
      <c r="C203" t="str" cm="1">
        <f t="array" aca="1" ref="C203" ca="1">INDEX(Tabla5[codigo],ROUND(RAND()*45,0)+1)</f>
        <v>ORU</v>
      </c>
      <c r="D203" t="str" cm="1">
        <f t="array" aca="1" ref="D203" ca="1">INDEX(Tabla8[id_calle],ROUND(RAND()*45,0)+1)</f>
        <v>MOR2</v>
      </c>
    </row>
    <row r="204" spans="2:4" x14ac:dyDescent="0.25">
      <c r="B204" t="str">
        <f t="shared" ref="B204:B222" ca="1" si="4">CONCATENATE(UPPER(SUBSTITUTE(MID(C204,RANDBETWEEN(1,LEN(C204)),1)," ","")),"-",UPPER(SUBSTITUTE(MID(D204,RANDBETWEEN(1,LEN(D204)-2),3)," ","")))</f>
        <v>R-ATI</v>
      </c>
      <c r="C204" t="str" cm="1">
        <f t="array" aca="1" ref="C204" ca="1">INDEX(Tabla5[codigo],ROUND(RAND()*45,0)+1)</f>
        <v>SOR</v>
      </c>
      <c r="D204" t="str" cm="1">
        <f t="array" aca="1" ref="D204" ca="1">INDEX(Tabla8[id_calle],ROUND(RAND()*45,0)+1)</f>
        <v>GRATI</v>
      </c>
    </row>
    <row r="205" spans="2:4" x14ac:dyDescent="0.25">
      <c r="B205" t="str">
        <f t="shared" ca="1" si="4"/>
        <v>U-MAY</v>
      </c>
      <c r="C205" t="str" cm="1">
        <f t="array" aca="1" ref="C205" ca="1">INDEX(Tabla5[codigo],ROUND(RAND()*45,0)+1)</f>
        <v>ORU</v>
      </c>
      <c r="D205" t="str" cm="1">
        <f t="array" aca="1" ref="D205" ca="1">INDEX(Tabla8[id_calle],ROUND(RAND()*45,0)+1)</f>
        <v>MAYO</v>
      </c>
    </row>
    <row r="206" spans="2:4" x14ac:dyDescent="0.25">
      <c r="B206" t="str">
        <f t="shared" ca="1" si="4"/>
        <v>U-UST</v>
      </c>
      <c r="C206" t="str" cm="1">
        <f t="array" aca="1" ref="C206" ca="1">INDEX(Tabla5[codigo],ROUND(RAND()*45,0)+1)</f>
        <v>BUR</v>
      </c>
      <c r="D206" t="str" cm="1">
        <f t="array" aca="1" ref="D206" ca="1">INDEX(Tabla8[id_calle],ROUND(RAND()*45,0)+1)</f>
        <v>USTIC</v>
      </c>
    </row>
    <row r="207" spans="2:4" x14ac:dyDescent="0.25">
      <c r="B207" t="str">
        <f t="shared" ca="1" si="4"/>
        <v>G-CAL</v>
      </c>
      <c r="C207" t="str" cm="1">
        <f t="array" aca="1" ref="C207" ca="1">INDEX(Tabla5[codigo],ROUND(RAND()*45,0)+1)</f>
        <v>LOG</v>
      </c>
      <c r="D207" t="str" cm="1">
        <f t="array" aca="1" ref="D207" ca="1">INDEX(Tabla8[id_calle],ROUND(RAND()*45,0)+1)</f>
        <v>CALLE</v>
      </c>
    </row>
    <row r="208" spans="2:4" x14ac:dyDescent="0.25">
      <c r="B208" t="str">
        <f t="shared" ca="1" si="4"/>
        <v>M-UST</v>
      </c>
      <c r="C208" t="str" cm="1">
        <f t="array" aca="1" ref="C208" ca="1">INDEX(Tabla5[codigo],ROUND(RAND()*45,0)+1)</f>
        <v>ALM</v>
      </c>
      <c r="D208" t="str" cm="1">
        <f t="array" aca="1" ref="D208" ca="1">INDEX(Tabla8[id_calle],ROUND(RAND()*45,0)+1)</f>
        <v>USTIC</v>
      </c>
    </row>
    <row r="209" spans="2:4" x14ac:dyDescent="0.25">
      <c r="B209" t="str">
        <f t="shared" ca="1" si="4"/>
        <v>O-AÑA</v>
      </c>
      <c r="C209" t="str" cm="1">
        <f t="array" aca="1" ref="C209" ca="1">INDEX(Tabla5[codigo],ROUND(RAND()*45,0)+1)</f>
        <v>ORE</v>
      </c>
      <c r="D209" t="str" cm="1">
        <f t="array" aca="1" ref="D209" ca="1">INDEX(Tabla8[id_calle],ROUND(RAND()*45,0)+1)</f>
        <v>AÑA2</v>
      </c>
    </row>
    <row r="210" spans="2:4" x14ac:dyDescent="0.25">
      <c r="B210" t="str">
        <f t="shared" ca="1" si="4"/>
        <v>O-DAD</v>
      </c>
      <c r="C210" t="str" cm="1">
        <f t="array" aca="1" ref="C210" ca="1">INDEX(Tabla5[codigo],ROUND(RAND()*45,0)+1)</f>
        <v>ORU</v>
      </c>
      <c r="D210" t="str" cm="1">
        <f t="array" aca="1" ref="D210" ca="1">INDEX(Tabla8[id_calle],ROUND(RAND()*45,0)+1)</f>
        <v>DADE</v>
      </c>
    </row>
    <row r="211" spans="2:4" x14ac:dyDescent="0.25">
      <c r="B211" t="str">
        <f t="shared" ca="1" si="4"/>
        <v>U-DÓN</v>
      </c>
      <c r="C211" t="str" cm="1">
        <f t="array" aca="1" ref="C211" ca="1">INDEX(Tabla5[codigo],ROUND(RAND()*45,0)+1)</f>
        <v>CUE</v>
      </c>
      <c r="D211" t="str" cm="1">
        <f t="array" aca="1" ref="D211" ca="1">INDEX(Tabla8[id_calle],ROUND(RAND()*45,0)+1)</f>
        <v>RDÓN</v>
      </c>
    </row>
    <row r="212" spans="2:4" x14ac:dyDescent="0.25">
      <c r="B212" t="str">
        <f t="shared" ca="1" si="4"/>
        <v>L-UEÑ</v>
      </c>
      <c r="C212" t="str" cm="1">
        <f t="array" aca="1" ref="C212" ca="1">INDEX(Tabla5[codigo],ROUND(RAND()*45,0)+1)</f>
        <v>MAL</v>
      </c>
      <c r="D212" t="str" cm="1">
        <f t="array" aca="1" ref="D212" ca="1">INDEX(Tabla8[id_calle],ROUND(RAND()*45,0)+1)</f>
        <v>UEÑO</v>
      </c>
    </row>
    <row r="213" spans="2:4" x14ac:dyDescent="0.25">
      <c r="B213" t="str">
        <f t="shared" ca="1" si="4"/>
        <v>I-LED</v>
      </c>
      <c r="C213" t="str" cm="1">
        <f t="array" aca="1" ref="C213" ca="1">INDEX(Tabla5[codigo],ROUND(RAND()*45,0)+1)</f>
        <v>GUI</v>
      </c>
      <c r="D213" t="str" cm="1">
        <f t="array" aca="1" ref="D213" ca="1">INDEX(Tabla8[id_calle],ROUND(RAND()*45,0)+1)</f>
        <v>LLED</v>
      </c>
    </row>
    <row r="214" spans="2:4" x14ac:dyDescent="0.25">
      <c r="B214" t="str">
        <f t="shared" ca="1" si="4"/>
        <v>L-CAL</v>
      </c>
      <c r="C214" t="str" cm="1">
        <f t="array" aca="1" ref="C214" ca="1">INDEX(Tabla5[codigo],ROUND(RAND()*45,0)+1)</f>
        <v>PAL</v>
      </c>
      <c r="D214" t="str" cm="1">
        <f t="array" aca="1" ref="D214" ca="1">INDEX(Tabla8[id_calle],ROUND(RAND()*45,0)+1)</f>
        <v>CALLE</v>
      </c>
    </row>
    <row r="215" spans="2:4" x14ac:dyDescent="0.25">
      <c r="B215" t="str">
        <f t="shared" ca="1" si="4"/>
        <v>S-ALL</v>
      </c>
      <c r="C215" t="str" cm="1">
        <f t="array" aca="1" ref="C215" ca="1">INDEX(Tabla5[codigo],ROUND(RAND()*45,0)+1)</f>
        <v>STA</v>
      </c>
      <c r="D215" t="str" cm="1">
        <f t="array" aca="1" ref="D215" ca="1">INDEX(Tabla8[id_calle],ROUND(RAND()*45,0)+1)</f>
        <v>CALLE</v>
      </c>
    </row>
    <row r="216" spans="2:4" x14ac:dyDescent="0.25">
      <c r="B216" t="str">
        <f t="shared" ca="1" si="4"/>
        <v>E-TIC</v>
      </c>
      <c r="C216" t="str" cm="1">
        <f t="array" aca="1" ref="C216" ca="1">INDEX(Tabla5[codigo],ROUND(RAND()*45,0)+1)</f>
        <v>LEP</v>
      </c>
      <c r="D216" t="str" cm="1">
        <f t="array" aca="1" ref="D216" ca="1">INDEX(Tabla8[id_calle],ROUND(RAND()*45,0)+1)</f>
        <v>USTIC</v>
      </c>
    </row>
    <row r="217" spans="2:4" x14ac:dyDescent="0.25">
      <c r="B217" t="str">
        <f t="shared" ca="1" si="4"/>
        <v>I-ADE</v>
      </c>
      <c r="C217" t="str" cm="1">
        <f t="array" aca="1" ref="C217" ca="1">INDEX(Tabla5[codigo],ROUND(RAND()*45,0)+1)</f>
        <v>GUI</v>
      </c>
      <c r="D217" t="str" cm="1">
        <f t="array" aca="1" ref="D217" ca="1">INDEX(Tabla8[id_calle],ROUND(RAND()*45,0)+1)</f>
        <v>DADE</v>
      </c>
    </row>
    <row r="218" spans="2:4" x14ac:dyDescent="0.25">
      <c r="B218" t="str">
        <f t="shared" ca="1" si="4"/>
        <v>A-ADE</v>
      </c>
      <c r="C218" t="str" cm="1">
        <f t="array" aca="1" ref="C218" ca="1">INDEX(Tabla5[codigo],ROUND(RAND()*45,0)+1)</f>
        <v>CAS</v>
      </c>
      <c r="D218" t="str" cm="1">
        <f t="array" aca="1" ref="D218" ca="1">INDEX(Tabla8[id_calle],ROUND(RAND()*45,0)+1)</f>
        <v>ADE</v>
      </c>
    </row>
    <row r="219" spans="2:4" x14ac:dyDescent="0.25">
      <c r="B219" t="str">
        <f t="shared" ca="1" si="4"/>
        <v>A-NJU</v>
      </c>
      <c r="C219" t="str" cm="1">
        <f t="array" aca="1" ref="C219" ca="1">INDEX(Tabla5[codigo],ROUND(RAND()*45,0)+1)</f>
        <v>MAL</v>
      </c>
      <c r="D219" t="str" cm="1">
        <f t="array" aca="1" ref="D219" ca="1">INDEX(Tabla8[id_calle],ROUND(RAND()*45,0)+1)</f>
        <v>ANJU</v>
      </c>
    </row>
    <row r="220" spans="2:4" x14ac:dyDescent="0.25">
      <c r="B220" t="str">
        <f t="shared" ca="1" si="4"/>
        <v>U-UEÑ</v>
      </c>
      <c r="C220" t="str" cm="1">
        <f t="array" aca="1" ref="C220" ca="1">INDEX(Tabla5[codigo],ROUND(RAND()*45,0)+1)</f>
        <v>BUR</v>
      </c>
      <c r="D220" t="str" cm="1">
        <f t="array" aca="1" ref="D220" ca="1">INDEX(Tabla8[id_calle],ROUND(RAND()*45,0)+1)</f>
        <v>UEÑO</v>
      </c>
    </row>
    <row r="221" spans="2:4" x14ac:dyDescent="0.25">
      <c r="B221" t="str">
        <f t="shared" ca="1" si="4"/>
        <v>A-LAA</v>
      </c>
      <c r="C221" t="str" cm="1">
        <f t="array" aca="1" ref="C221" ca="1">INDEX(Tabla5[codigo],ROUND(RAND()*45,0)+1)</f>
        <v>ACO</v>
      </c>
      <c r="D221" t="str" cm="1">
        <f t="array" aca="1" ref="D221" ca="1">INDEX(Tabla8[id_calle],ROUND(RAND()*45,0)+1)</f>
        <v>LAA</v>
      </c>
    </row>
    <row r="222" spans="2:4" x14ac:dyDescent="0.25">
      <c r="B222" t="str">
        <f t="shared" ca="1" si="4"/>
        <v>O-ENT</v>
      </c>
      <c r="C222" t="str" cm="1">
        <f t="array" aca="1" ref="C222" ca="1">INDEX(Tabla5[codigo],ROUND(RAND()*45,0)+1)</f>
        <v>ORE</v>
      </c>
      <c r="D222" t="str" cm="1">
        <f t="array" aca="1" ref="D222" ca="1">INDEX(Tabla8[id_calle],ROUND(RAND()*45,0)+1)</f>
        <v>ENTO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0445-589A-4D85-9110-395C734D4915}">
  <dimension ref="B4:C96"/>
  <sheetViews>
    <sheetView workbookViewId="0">
      <selection activeCell="F15" sqref="F15"/>
    </sheetView>
  </sheetViews>
  <sheetFormatPr baseColWidth="10" defaultRowHeight="15" x14ac:dyDescent="0.25"/>
  <cols>
    <col min="2" max="2" width="17.42578125" customWidth="1"/>
    <col min="3" max="3" width="27.28515625" bestFit="1" customWidth="1"/>
  </cols>
  <sheetData>
    <row r="4" spans="2:3" x14ac:dyDescent="0.25">
      <c r="B4" t="s">
        <v>410</v>
      </c>
      <c r="C4" t="s">
        <v>1</v>
      </c>
    </row>
    <row r="5" spans="2:3" x14ac:dyDescent="0.25">
      <c r="B5" t="str">
        <f ca="1">UPPER(SUBSTITUTE(MID(C5,RANDBETWEEN(1,LEN(C5)-4),5)," ",""))</f>
        <v>ANJU</v>
      </c>
      <c r="C5" s="3" t="s">
        <v>8</v>
      </c>
    </row>
    <row r="6" spans="2:3" x14ac:dyDescent="0.25">
      <c r="B6" t="str">
        <f t="shared" ref="B6:B47" ca="1" si="0">UPPER(SUBSTITUTE(MID(C6,RANDBETWEEN(1,LEN(C6)-4),5)," ",""))</f>
        <v>AVENI</v>
      </c>
      <c r="C6" s="4" t="s">
        <v>223</v>
      </c>
    </row>
    <row r="7" spans="2:3" x14ac:dyDescent="0.25">
      <c r="B7" t="str">
        <f t="shared" ca="1" si="0"/>
        <v>ELA</v>
      </c>
      <c r="C7" s="3" t="s">
        <v>224</v>
      </c>
    </row>
    <row r="8" spans="2:3" x14ac:dyDescent="0.25">
      <c r="B8" t="str">
        <f t="shared" ca="1" si="0"/>
        <v>LLED</v>
      </c>
      <c r="C8" s="4" t="s">
        <v>225</v>
      </c>
    </row>
    <row r="9" spans="2:3" x14ac:dyDescent="0.25">
      <c r="B9" t="str">
        <f t="shared" ca="1" si="0"/>
        <v>CALLE</v>
      </c>
      <c r="C9" s="3" t="s">
        <v>226</v>
      </c>
    </row>
    <row r="10" spans="2:3" x14ac:dyDescent="0.25">
      <c r="B10" t="str">
        <f t="shared" ca="1" si="0"/>
        <v>OÑO1</v>
      </c>
      <c r="C10" s="4" t="s">
        <v>227</v>
      </c>
    </row>
    <row r="11" spans="2:3" x14ac:dyDescent="0.25">
      <c r="B11" t="str">
        <f t="shared" ca="1" si="0"/>
        <v>AVENI</v>
      </c>
      <c r="C11" s="3" t="s">
        <v>228</v>
      </c>
    </row>
    <row r="12" spans="2:3" x14ac:dyDescent="0.25">
      <c r="B12" t="str">
        <f t="shared" ca="1" si="0"/>
        <v>AÑA2</v>
      </c>
      <c r="C12" s="4" t="s">
        <v>229</v>
      </c>
    </row>
    <row r="13" spans="2:3" x14ac:dyDescent="0.25">
      <c r="B13" t="str">
        <f t="shared" ca="1" si="0"/>
        <v>AVENI</v>
      </c>
      <c r="C13" s="3" t="s">
        <v>230</v>
      </c>
    </row>
    <row r="14" spans="2:3" x14ac:dyDescent="0.25">
      <c r="B14" t="str">
        <f t="shared" ca="1" si="0"/>
        <v>LLED</v>
      </c>
      <c r="C14" s="4" t="s">
        <v>231</v>
      </c>
    </row>
    <row r="15" spans="2:3" x14ac:dyDescent="0.25">
      <c r="B15" t="str">
        <f t="shared" ca="1" si="0"/>
        <v>PLAY</v>
      </c>
      <c r="C15" s="3" t="s">
        <v>232</v>
      </c>
    </row>
    <row r="16" spans="2:3" x14ac:dyDescent="0.25">
      <c r="B16" t="str">
        <f t="shared" ca="1" si="0"/>
        <v>DADE</v>
      </c>
      <c r="C16" s="4" t="s">
        <v>233</v>
      </c>
    </row>
    <row r="17" spans="2:3" x14ac:dyDescent="0.25">
      <c r="B17" t="str">
        <f t="shared" ca="1" si="0"/>
        <v>DAD1</v>
      </c>
      <c r="C17" s="3" t="s">
        <v>234</v>
      </c>
    </row>
    <row r="18" spans="2:3" x14ac:dyDescent="0.25">
      <c r="B18" t="str">
        <f t="shared" ca="1" si="0"/>
        <v>NIDA</v>
      </c>
      <c r="C18" s="4" t="s">
        <v>235</v>
      </c>
    </row>
    <row r="19" spans="2:3" x14ac:dyDescent="0.25">
      <c r="B19" t="str">
        <f t="shared" ca="1" si="0"/>
        <v>DEL</v>
      </c>
      <c r="C19" s="3" t="s">
        <v>236</v>
      </c>
    </row>
    <row r="20" spans="2:3" x14ac:dyDescent="0.25">
      <c r="B20" t="str">
        <f t="shared" ca="1" si="0"/>
        <v>CALLE</v>
      </c>
      <c r="C20" s="4" t="s">
        <v>237</v>
      </c>
    </row>
    <row r="21" spans="2:3" x14ac:dyDescent="0.25">
      <c r="B21" t="str">
        <f t="shared" ca="1" si="0"/>
        <v>UE18</v>
      </c>
      <c r="C21" s="3" t="s">
        <v>238</v>
      </c>
    </row>
    <row r="22" spans="2:3" x14ac:dyDescent="0.25">
      <c r="B22" t="str">
        <f t="shared" ca="1" si="0"/>
        <v>OLINA</v>
      </c>
      <c r="C22" s="4" t="s">
        <v>239</v>
      </c>
    </row>
    <row r="23" spans="2:3" x14ac:dyDescent="0.25">
      <c r="B23" t="str">
        <f t="shared" ca="1" si="0"/>
        <v>IDAD</v>
      </c>
      <c r="C23" s="3" t="s">
        <v>240</v>
      </c>
    </row>
    <row r="24" spans="2:3" x14ac:dyDescent="0.25">
      <c r="B24" t="str">
        <f t="shared" ca="1" si="0"/>
        <v>LEDE</v>
      </c>
      <c r="C24" s="4" t="s">
        <v>241</v>
      </c>
    </row>
    <row r="25" spans="2:3" x14ac:dyDescent="0.25">
      <c r="B25" t="str">
        <f t="shared" ca="1" si="0"/>
        <v>ELA</v>
      </c>
      <c r="C25" s="3" t="s">
        <v>242</v>
      </c>
    </row>
    <row r="26" spans="2:3" x14ac:dyDescent="0.25">
      <c r="B26" t="str">
        <f t="shared" ca="1" si="0"/>
        <v>NIDA</v>
      </c>
      <c r="C26" s="4" t="s">
        <v>243</v>
      </c>
    </row>
    <row r="27" spans="2:3" x14ac:dyDescent="0.25">
      <c r="B27" t="str">
        <f t="shared" ca="1" si="0"/>
        <v>CALLE</v>
      </c>
      <c r="C27" s="3" t="s">
        <v>244</v>
      </c>
    </row>
    <row r="28" spans="2:3" x14ac:dyDescent="0.25">
      <c r="B28" t="str">
        <f t="shared" ca="1" si="0"/>
        <v>UEÑO</v>
      </c>
      <c r="C28" s="4" t="s">
        <v>245</v>
      </c>
    </row>
    <row r="29" spans="2:3" x14ac:dyDescent="0.25">
      <c r="B29" t="str">
        <f t="shared" ca="1" si="0"/>
        <v>ALLE</v>
      </c>
      <c r="C29" s="3" t="s">
        <v>246</v>
      </c>
    </row>
    <row r="30" spans="2:3" x14ac:dyDescent="0.25">
      <c r="B30" t="str">
        <f t="shared" ca="1" si="0"/>
        <v>USTIC</v>
      </c>
      <c r="C30" s="4" t="s">
        <v>247</v>
      </c>
    </row>
    <row r="31" spans="2:3" x14ac:dyDescent="0.25">
      <c r="B31" t="str">
        <f t="shared" ca="1" si="0"/>
        <v>TAD2</v>
      </c>
      <c r="C31" s="3" t="s">
        <v>248</v>
      </c>
    </row>
    <row r="32" spans="2:3" x14ac:dyDescent="0.25">
      <c r="B32" t="str">
        <f t="shared" ca="1" si="0"/>
        <v>LEDE</v>
      </c>
      <c r="C32" s="4" t="s">
        <v>249</v>
      </c>
    </row>
    <row r="33" spans="2:3" x14ac:dyDescent="0.25">
      <c r="B33" t="str">
        <f t="shared" ca="1" si="0"/>
        <v>CALLE</v>
      </c>
      <c r="C33" s="3" t="s">
        <v>250</v>
      </c>
    </row>
    <row r="34" spans="2:3" x14ac:dyDescent="0.25">
      <c r="B34" t="str">
        <f t="shared" ca="1" si="0"/>
        <v>LAA</v>
      </c>
      <c r="C34" s="4" t="s">
        <v>251</v>
      </c>
    </row>
    <row r="35" spans="2:3" x14ac:dyDescent="0.25">
      <c r="B35" t="str">
        <f t="shared" ca="1" si="0"/>
        <v>DEL</v>
      </c>
      <c r="C35" s="3" t="s">
        <v>252</v>
      </c>
    </row>
    <row r="36" spans="2:3" x14ac:dyDescent="0.25">
      <c r="B36" t="str">
        <f t="shared" ca="1" si="0"/>
        <v>MOR2</v>
      </c>
      <c r="C36" s="4" t="s">
        <v>253</v>
      </c>
    </row>
    <row r="37" spans="2:3" x14ac:dyDescent="0.25">
      <c r="B37" t="str">
        <f t="shared" ca="1" si="0"/>
        <v>ELA</v>
      </c>
      <c r="C37" s="3" t="s">
        <v>254</v>
      </c>
    </row>
    <row r="38" spans="2:3" x14ac:dyDescent="0.25">
      <c r="B38" t="str">
        <f t="shared" ca="1" si="0"/>
        <v>ENTO</v>
      </c>
      <c r="C38" s="4" t="s">
        <v>255</v>
      </c>
    </row>
    <row r="39" spans="2:3" x14ac:dyDescent="0.25">
      <c r="B39" t="str">
        <f t="shared" ca="1" si="0"/>
        <v>LCON</v>
      </c>
      <c r="C39" s="3" t="s">
        <v>256</v>
      </c>
    </row>
    <row r="40" spans="2:3" x14ac:dyDescent="0.25">
      <c r="B40" t="str">
        <f t="shared" ca="1" si="0"/>
        <v>DEL</v>
      </c>
      <c r="C40" s="4" t="s">
        <v>257</v>
      </c>
    </row>
    <row r="41" spans="2:3" x14ac:dyDescent="0.25">
      <c r="B41" t="str">
        <f t="shared" ca="1" si="0"/>
        <v>FELI</v>
      </c>
      <c r="C41" s="3" t="s">
        <v>258</v>
      </c>
    </row>
    <row r="42" spans="2:3" x14ac:dyDescent="0.25">
      <c r="B42" t="str">
        <f t="shared" ca="1" si="0"/>
        <v>DELA</v>
      </c>
      <c r="C42" s="4" t="s">
        <v>259</v>
      </c>
    </row>
    <row r="43" spans="2:3" x14ac:dyDescent="0.25">
      <c r="B43" t="str">
        <f t="shared" ca="1" si="0"/>
        <v>RDÓN</v>
      </c>
      <c r="C43" s="3" t="s">
        <v>260</v>
      </c>
    </row>
    <row r="44" spans="2:3" x14ac:dyDescent="0.25">
      <c r="B44" t="str">
        <f t="shared" ca="1" si="0"/>
        <v>ADE</v>
      </c>
      <c r="C44" s="4" t="s">
        <v>261</v>
      </c>
    </row>
    <row r="45" spans="2:3" x14ac:dyDescent="0.25">
      <c r="B45" t="str">
        <f t="shared" ca="1" si="0"/>
        <v>CALLE</v>
      </c>
      <c r="C45" s="3" t="s">
        <v>262</v>
      </c>
    </row>
    <row r="46" spans="2:3" x14ac:dyDescent="0.25">
      <c r="B46" t="str">
        <f t="shared" ca="1" si="0"/>
        <v>GRATI</v>
      </c>
      <c r="C46" s="4" t="s">
        <v>263</v>
      </c>
    </row>
    <row r="47" spans="2:3" x14ac:dyDescent="0.25">
      <c r="B47" t="str">
        <f t="shared" ca="1" si="0"/>
        <v>DADE</v>
      </c>
      <c r="C47" s="3" t="s">
        <v>264</v>
      </c>
    </row>
    <row r="48" spans="2:3" x14ac:dyDescent="0.25">
      <c r="B48" t="str">
        <f t="shared" ref="B48:B79" ca="1" si="1">UPPER(SUBSTITUTE(MID(C48,RANDBETWEEN(1,LEN(C48)-4),5)," ",""))</f>
        <v>NIDA</v>
      </c>
      <c r="C48" s="3" t="s">
        <v>411</v>
      </c>
    </row>
    <row r="49" spans="2:3" x14ac:dyDescent="0.25">
      <c r="B49" t="str">
        <f t="shared" ca="1" si="1"/>
        <v>SOL</v>
      </c>
      <c r="C49" s="3" t="s">
        <v>412</v>
      </c>
    </row>
    <row r="50" spans="2:3" x14ac:dyDescent="0.25">
      <c r="B50" t="str">
        <f t="shared" ca="1" si="1"/>
        <v>MAYO</v>
      </c>
      <c r="C50" s="3" t="s">
        <v>413</v>
      </c>
    </row>
    <row r="51" spans="2:3" x14ac:dyDescent="0.25">
      <c r="B51" t="str">
        <f t="shared" ca="1" si="1"/>
        <v>AÑA1</v>
      </c>
      <c r="C51" s="3" t="s">
        <v>414</v>
      </c>
    </row>
    <row r="52" spans="2:3" x14ac:dyDescent="0.25">
      <c r="B52" t="str">
        <f t="shared" ca="1" si="1"/>
        <v>ADEL</v>
      </c>
      <c r="C52" s="3" t="s">
        <v>415</v>
      </c>
    </row>
    <row r="53" spans="2:3" x14ac:dyDescent="0.25">
      <c r="B53" t="str">
        <f t="shared" ca="1" si="1"/>
        <v>OSA8</v>
      </c>
      <c r="C53" s="3" t="s">
        <v>416</v>
      </c>
    </row>
    <row r="54" spans="2:3" x14ac:dyDescent="0.25">
      <c r="B54" t="str">
        <f t="shared" ca="1" si="1"/>
        <v>ELA</v>
      </c>
      <c r="C54" s="3" t="s">
        <v>417</v>
      </c>
    </row>
    <row r="55" spans="2:3" x14ac:dyDescent="0.25">
      <c r="B55" t="str">
        <f t="shared" ca="1" si="1"/>
        <v>PRADO</v>
      </c>
      <c r="C55" s="3" t="s">
        <v>418</v>
      </c>
    </row>
    <row r="56" spans="2:3" x14ac:dyDescent="0.25">
      <c r="B56" t="str">
        <f t="shared" ca="1" si="1"/>
        <v>LAL</v>
      </c>
      <c r="C56" s="3" t="s">
        <v>419</v>
      </c>
    </row>
    <row r="57" spans="2:3" x14ac:dyDescent="0.25">
      <c r="B57" t="str">
        <f t="shared" ca="1" si="1"/>
        <v>DEL</v>
      </c>
      <c r="C57" s="3" t="s">
        <v>420</v>
      </c>
    </row>
    <row r="58" spans="2:3" x14ac:dyDescent="0.25">
      <c r="B58" t="str">
        <f t="shared" ca="1" si="1"/>
        <v>DEL</v>
      </c>
      <c r="C58" s="3" t="s">
        <v>421</v>
      </c>
    </row>
    <row r="59" spans="2:3" x14ac:dyDescent="0.25">
      <c r="B59" t="str">
        <f t="shared" ca="1" si="1"/>
        <v>ALLE</v>
      </c>
      <c r="C59" s="3" t="s">
        <v>422</v>
      </c>
    </row>
    <row r="60" spans="2:3" x14ac:dyDescent="0.25">
      <c r="B60" t="str">
        <f t="shared" ca="1" si="1"/>
        <v>LAMOS</v>
      </c>
      <c r="C60" s="3" t="s">
        <v>423</v>
      </c>
    </row>
    <row r="61" spans="2:3" x14ac:dyDescent="0.25">
      <c r="B61" t="str">
        <f t="shared" ca="1" si="1"/>
        <v>FUENT</v>
      </c>
      <c r="C61" s="3" t="s">
        <v>424</v>
      </c>
    </row>
    <row r="62" spans="2:3" x14ac:dyDescent="0.25">
      <c r="B62" t="str">
        <f t="shared" ca="1" si="1"/>
        <v>EDA1</v>
      </c>
      <c r="C62" s="3" t="s">
        <v>425</v>
      </c>
    </row>
    <row r="63" spans="2:3" x14ac:dyDescent="0.25">
      <c r="B63" t="str">
        <f t="shared" ca="1" si="1"/>
        <v>ELA</v>
      </c>
      <c r="C63" s="3" t="s">
        <v>426</v>
      </c>
    </row>
    <row r="64" spans="2:3" x14ac:dyDescent="0.25">
      <c r="B64" t="str">
        <f t="shared" ca="1" si="1"/>
        <v>QUE2</v>
      </c>
      <c r="C64" s="3" t="s">
        <v>427</v>
      </c>
    </row>
    <row r="65" spans="2:3" x14ac:dyDescent="0.25">
      <c r="B65" t="str">
        <f t="shared" ca="1" si="1"/>
        <v>LLED</v>
      </c>
      <c r="C65" s="3" t="s">
        <v>428</v>
      </c>
    </row>
    <row r="66" spans="2:3" x14ac:dyDescent="0.25">
      <c r="B66" t="str">
        <f t="shared" ca="1" si="1"/>
        <v>LAF</v>
      </c>
      <c r="C66" s="3" t="s">
        <v>429</v>
      </c>
    </row>
    <row r="67" spans="2:3" x14ac:dyDescent="0.25">
      <c r="B67" t="str">
        <f t="shared" ca="1" si="1"/>
        <v>DELA</v>
      </c>
      <c r="C67" s="3" t="s">
        <v>430</v>
      </c>
    </row>
    <row r="68" spans="2:3" x14ac:dyDescent="0.25">
      <c r="B68" t="str">
        <f t="shared" ca="1" si="1"/>
        <v>ERRA</v>
      </c>
      <c r="C68" s="3" t="s">
        <v>431</v>
      </c>
    </row>
    <row r="69" spans="2:3" x14ac:dyDescent="0.25">
      <c r="B69" t="str">
        <f t="shared" ca="1" si="1"/>
        <v>EDEL</v>
      </c>
      <c r="C69" s="3" t="s">
        <v>432</v>
      </c>
    </row>
    <row r="70" spans="2:3" x14ac:dyDescent="0.25">
      <c r="B70" t="str">
        <f t="shared" ca="1" si="1"/>
        <v>APLA</v>
      </c>
      <c r="C70" s="3" t="s">
        <v>433</v>
      </c>
    </row>
    <row r="71" spans="2:3" x14ac:dyDescent="0.25">
      <c r="B71" t="str">
        <f t="shared" ca="1" si="1"/>
        <v>ALLE</v>
      </c>
      <c r="C71" s="3" t="s">
        <v>434</v>
      </c>
    </row>
    <row r="72" spans="2:3" x14ac:dyDescent="0.25">
      <c r="B72" t="str">
        <f t="shared" ca="1" si="1"/>
        <v>LMERA</v>
      </c>
      <c r="C72" s="3" t="s">
        <v>435</v>
      </c>
    </row>
    <row r="73" spans="2:3" x14ac:dyDescent="0.25">
      <c r="B73" t="str">
        <f t="shared" ca="1" si="1"/>
        <v>DELM</v>
      </c>
      <c r="C73" s="3" t="s">
        <v>436</v>
      </c>
    </row>
    <row r="74" spans="2:3" x14ac:dyDescent="0.25">
      <c r="B74" t="str">
        <f t="shared" ca="1" si="1"/>
        <v>YUNTA</v>
      </c>
      <c r="C74" s="3" t="s">
        <v>437</v>
      </c>
    </row>
    <row r="75" spans="2:3" x14ac:dyDescent="0.25">
      <c r="B75" t="str">
        <f t="shared" ca="1" si="1"/>
        <v>LAM</v>
      </c>
      <c r="C75" s="3" t="s">
        <v>438</v>
      </c>
    </row>
    <row r="76" spans="2:3" x14ac:dyDescent="0.25">
      <c r="B76" t="str">
        <f t="shared" ca="1" si="1"/>
        <v>LAE</v>
      </c>
      <c r="C76" s="3" t="s">
        <v>439</v>
      </c>
    </row>
    <row r="77" spans="2:3" x14ac:dyDescent="0.25">
      <c r="B77" t="str">
        <f t="shared" ca="1" si="1"/>
        <v>CALLE</v>
      </c>
      <c r="C77" s="3" t="s">
        <v>440</v>
      </c>
    </row>
    <row r="78" spans="2:3" x14ac:dyDescent="0.25">
      <c r="B78" t="str">
        <f t="shared" ca="1" si="1"/>
        <v>ICTOR</v>
      </c>
      <c r="C78" s="3" t="s">
        <v>441</v>
      </c>
    </row>
    <row r="79" spans="2:3" x14ac:dyDescent="0.25">
      <c r="B79" t="str">
        <f t="shared" ca="1" si="1"/>
        <v>LACA</v>
      </c>
      <c r="C79" s="3" t="s">
        <v>442</v>
      </c>
    </row>
    <row r="80" spans="2:3" x14ac:dyDescent="0.25">
      <c r="B80" t="str">
        <f t="shared" ref="B80:B96" ca="1" si="2">UPPER(SUBSTITUTE(MID(C80,RANDBETWEEN(1,LEN(C80)-4),5)," ",""))</f>
        <v>ELCI</v>
      </c>
      <c r="C80" s="3" t="s">
        <v>443</v>
      </c>
    </row>
    <row r="81" spans="2:3" x14ac:dyDescent="0.25">
      <c r="B81" t="str">
        <f t="shared" ca="1" si="2"/>
        <v>LAC</v>
      </c>
      <c r="C81" s="3" t="s">
        <v>444</v>
      </c>
    </row>
    <row r="82" spans="2:3" x14ac:dyDescent="0.25">
      <c r="B82" t="str">
        <f t="shared" ca="1" si="2"/>
        <v>ESPA</v>
      </c>
      <c r="C82" s="3" t="s">
        <v>445</v>
      </c>
    </row>
    <row r="83" spans="2:3" x14ac:dyDescent="0.25">
      <c r="B83" t="str">
        <f t="shared" ca="1" si="2"/>
        <v>DELA</v>
      </c>
      <c r="C83" s="3" t="s">
        <v>446</v>
      </c>
    </row>
    <row r="84" spans="2:3" x14ac:dyDescent="0.25">
      <c r="B84" t="str">
        <f t="shared" ca="1" si="2"/>
        <v>DEL</v>
      </c>
      <c r="C84" s="3" t="s">
        <v>447</v>
      </c>
    </row>
    <row r="85" spans="2:3" x14ac:dyDescent="0.25">
      <c r="B85" t="str">
        <f t="shared" ca="1" si="2"/>
        <v>EDEL</v>
      </c>
      <c r="C85" s="3" t="s">
        <v>448</v>
      </c>
    </row>
    <row r="86" spans="2:3" x14ac:dyDescent="0.25">
      <c r="B86" t="str">
        <f t="shared" ca="1" si="2"/>
        <v>LAA</v>
      </c>
      <c r="C86" s="3" t="s">
        <v>449</v>
      </c>
    </row>
    <row r="87" spans="2:3" x14ac:dyDescent="0.25">
      <c r="B87" t="str">
        <f t="shared" ca="1" si="2"/>
        <v>DELA</v>
      </c>
      <c r="C87" s="3" t="s">
        <v>450</v>
      </c>
    </row>
    <row r="88" spans="2:3" x14ac:dyDescent="0.25">
      <c r="B88" t="str">
        <f t="shared" ca="1" si="2"/>
        <v>AVENI</v>
      </c>
      <c r="C88" s="3" t="s">
        <v>451</v>
      </c>
    </row>
    <row r="89" spans="2:3" x14ac:dyDescent="0.25">
      <c r="B89" t="str">
        <f t="shared" ca="1" si="2"/>
        <v>LSOL</v>
      </c>
      <c r="C89" s="3" t="s">
        <v>452</v>
      </c>
    </row>
    <row r="90" spans="2:3" x14ac:dyDescent="0.25">
      <c r="B90" t="str">
        <f t="shared" ca="1" si="2"/>
        <v>YOR1</v>
      </c>
      <c r="C90" s="3" t="s">
        <v>453</v>
      </c>
    </row>
    <row r="91" spans="2:3" x14ac:dyDescent="0.25">
      <c r="B91" t="str">
        <f t="shared" ca="1" si="2"/>
        <v>CALLE</v>
      </c>
      <c r="C91" s="3" t="s">
        <v>454</v>
      </c>
    </row>
    <row r="92" spans="2:3" x14ac:dyDescent="0.25">
      <c r="B92" t="str">
        <f t="shared" ca="1" si="2"/>
        <v>VENID</v>
      </c>
      <c r="C92" s="3" t="s">
        <v>455</v>
      </c>
    </row>
    <row r="93" spans="2:3" x14ac:dyDescent="0.25">
      <c r="B93" t="str">
        <f t="shared" ca="1" si="2"/>
        <v>LAL</v>
      </c>
      <c r="C93" s="3" t="s">
        <v>456</v>
      </c>
    </row>
    <row r="94" spans="2:3" x14ac:dyDescent="0.25">
      <c r="B94" t="str">
        <f t="shared" ca="1" si="2"/>
        <v>ELA</v>
      </c>
      <c r="C94" s="3" t="s">
        <v>457</v>
      </c>
    </row>
    <row r="95" spans="2:3" x14ac:dyDescent="0.25">
      <c r="B95" t="str">
        <f t="shared" ca="1" si="2"/>
        <v>CALLE</v>
      </c>
      <c r="C95" s="3" t="s">
        <v>458</v>
      </c>
    </row>
    <row r="96" spans="2:3" x14ac:dyDescent="0.25">
      <c r="B96" t="str">
        <f t="shared" ca="1" si="2"/>
        <v>TAD1</v>
      </c>
      <c r="C96" s="6" t="s">
        <v>459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0090-C6C4-4020-98CD-DCC6FA77852A}">
  <dimension ref="B4:C54"/>
  <sheetViews>
    <sheetView topLeftCell="A34" workbookViewId="0">
      <selection activeCell="G50" sqref="G50"/>
    </sheetView>
  </sheetViews>
  <sheetFormatPr baseColWidth="10" defaultRowHeight="15" x14ac:dyDescent="0.25"/>
  <cols>
    <col min="3" max="3" width="21" bestFit="1" customWidth="1"/>
  </cols>
  <sheetData>
    <row r="4" spans="2:3" x14ac:dyDescent="0.25">
      <c r="B4" t="s">
        <v>21</v>
      </c>
      <c r="C4" t="s">
        <v>1</v>
      </c>
    </row>
    <row r="5" spans="2:3" x14ac:dyDescent="0.25">
      <c r="B5" t="s">
        <v>27</v>
      </c>
      <c r="C5" t="s">
        <v>28</v>
      </c>
    </row>
    <row r="6" spans="2:3" x14ac:dyDescent="0.25">
      <c r="B6" t="s">
        <v>29</v>
      </c>
      <c r="C6" t="s">
        <v>30</v>
      </c>
    </row>
    <row r="7" spans="2:3" x14ac:dyDescent="0.25">
      <c r="B7" t="s">
        <v>31</v>
      </c>
      <c r="C7" t="s">
        <v>32</v>
      </c>
    </row>
    <row r="8" spans="2:3" x14ac:dyDescent="0.25">
      <c r="B8" t="s">
        <v>33</v>
      </c>
      <c r="C8" t="s">
        <v>34</v>
      </c>
    </row>
    <row r="9" spans="2:3" x14ac:dyDescent="0.25">
      <c r="B9" t="s">
        <v>35</v>
      </c>
      <c r="C9" t="s">
        <v>36</v>
      </c>
    </row>
    <row r="10" spans="2:3" x14ac:dyDescent="0.25">
      <c r="B10" t="s">
        <v>37</v>
      </c>
      <c r="C10" t="s">
        <v>38</v>
      </c>
    </row>
    <row r="11" spans="2:3" x14ac:dyDescent="0.25">
      <c r="B11" t="s">
        <v>39</v>
      </c>
      <c r="C11" t="s">
        <v>40</v>
      </c>
    </row>
    <row r="12" spans="2:3" x14ac:dyDescent="0.25">
      <c r="B12" t="s">
        <v>41</v>
      </c>
      <c r="C12" t="s">
        <v>42</v>
      </c>
    </row>
    <row r="13" spans="2:3" x14ac:dyDescent="0.25">
      <c r="B13" t="s">
        <v>26</v>
      </c>
      <c r="C13" t="s">
        <v>9</v>
      </c>
    </row>
    <row r="14" spans="2:3" x14ac:dyDescent="0.25">
      <c r="B14" t="s">
        <v>43</v>
      </c>
      <c r="C14" t="s">
        <v>44</v>
      </c>
    </row>
    <row r="15" spans="2:3" x14ac:dyDescent="0.25">
      <c r="B15" t="s">
        <v>45</v>
      </c>
      <c r="C15" t="s">
        <v>46</v>
      </c>
    </row>
    <row r="16" spans="2:3" x14ac:dyDescent="0.25">
      <c r="B16" t="s">
        <v>47</v>
      </c>
      <c r="C16" t="s">
        <v>48</v>
      </c>
    </row>
    <row r="17" spans="2:3" x14ac:dyDescent="0.25">
      <c r="B17" t="s">
        <v>49</v>
      </c>
      <c r="C17" t="s">
        <v>50</v>
      </c>
    </row>
    <row r="18" spans="2:3" x14ac:dyDescent="0.25">
      <c r="B18" t="s">
        <v>51</v>
      </c>
      <c r="C18" t="s">
        <v>52</v>
      </c>
    </row>
    <row r="19" spans="2:3" x14ac:dyDescent="0.25">
      <c r="B19" t="s">
        <v>53</v>
      </c>
      <c r="C19" t="s">
        <v>54</v>
      </c>
    </row>
    <row r="20" spans="2:3" x14ac:dyDescent="0.25">
      <c r="B20" t="s">
        <v>55</v>
      </c>
      <c r="C20" t="s">
        <v>56</v>
      </c>
    </row>
    <row r="21" spans="2:3" x14ac:dyDescent="0.25">
      <c r="B21" t="s">
        <v>57</v>
      </c>
      <c r="C21" t="s">
        <v>58</v>
      </c>
    </row>
    <row r="22" spans="2:3" x14ac:dyDescent="0.25">
      <c r="B22" t="s">
        <v>59</v>
      </c>
      <c r="C22" t="s">
        <v>60</v>
      </c>
    </row>
    <row r="23" spans="2:3" x14ac:dyDescent="0.25">
      <c r="B23" t="s">
        <v>61</v>
      </c>
      <c r="C23" t="s">
        <v>62</v>
      </c>
    </row>
    <row r="24" spans="2:3" x14ac:dyDescent="0.25">
      <c r="B24" t="s">
        <v>63</v>
      </c>
      <c r="C24" t="s">
        <v>64</v>
      </c>
    </row>
    <row r="25" spans="2:3" x14ac:dyDescent="0.25">
      <c r="B25" t="s">
        <v>65</v>
      </c>
      <c r="C25" t="s">
        <v>66</v>
      </c>
    </row>
    <row r="26" spans="2:3" x14ac:dyDescent="0.25">
      <c r="B26" t="s">
        <v>67</v>
      </c>
      <c r="C26" t="s">
        <v>68</v>
      </c>
    </row>
    <row r="27" spans="2:3" x14ac:dyDescent="0.25">
      <c r="B27" t="s">
        <v>69</v>
      </c>
      <c r="C27" t="s">
        <v>70</v>
      </c>
    </row>
    <row r="28" spans="2:3" x14ac:dyDescent="0.25">
      <c r="B28" t="s">
        <v>71</v>
      </c>
      <c r="C28" t="s">
        <v>72</v>
      </c>
    </row>
    <row r="29" spans="2:3" x14ac:dyDescent="0.25">
      <c r="B29" t="s">
        <v>73</v>
      </c>
      <c r="C29" t="s">
        <v>74</v>
      </c>
    </row>
    <row r="30" spans="2:3" x14ac:dyDescent="0.25">
      <c r="B30" t="s">
        <v>75</v>
      </c>
      <c r="C30" t="s">
        <v>76</v>
      </c>
    </row>
    <row r="31" spans="2:3" x14ac:dyDescent="0.25">
      <c r="B31" t="s">
        <v>77</v>
      </c>
      <c r="C31" t="s">
        <v>78</v>
      </c>
    </row>
    <row r="32" spans="2:3" x14ac:dyDescent="0.25">
      <c r="B32" t="s">
        <v>79</v>
      </c>
      <c r="C32" t="s">
        <v>80</v>
      </c>
    </row>
    <row r="33" spans="2:3" x14ac:dyDescent="0.25">
      <c r="B33" t="s">
        <v>81</v>
      </c>
      <c r="C33" t="s">
        <v>82</v>
      </c>
    </row>
    <row r="34" spans="2:3" x14ac:dyDescent="0.25">
      <c r="B34" t="s">
        <v>24</v>
      </c>
      <c r="C34" t="s">
        <v>6</v>
      </c>
    </row>
    <row r="35" spans="2:3" x14ac:dyDescent="0.25">
      <c r="B35" t="s">
        <v>83</v>
      </c>
      <c r="C35" t="s">
        <v>84</v>
      </c>
    </row>
    <row r="36" spans="2:3" x14ac:dyDescent="0.25">
      <c r="B36" t="s">
        <v>85</v>
      </c>
      <c r="C36" t="s">
        <v>86</v>
      </c>
    </row>
    <row r="37" spans="2:3" x14ac:dyDescent="0.25">
      <c r="B37" t="s">
        <v>87</v>
      </c>
      <c r="C37" t="s">
        <v>88</v>
      </c>
    </row>
    <row r="38" spans="2:3" x14ac:dyDescent="0.25">
      <c r="B38" t="s">
        <v>89</v>
      </c>
      <c r="C38" t="s">
        <v>90</v>
      </c>
    </row>
    <row r="39" spans="2:3" x14ac:dyDescent="0.25">
      <c r="B39" t="s">
        <v>91</v>
      </c>
      <c r="C39" t="s">
        <v>92</v>
      </c>
    </row>
    <row r="40" spans="2:3" x14ac:dyDescent="0.25">
      <c r="B40" t="s">
        <v>93</v>
      </c>
      <c r="C40" t="s">
        <v>94</v>
      </c>
    </row>
    <row r="41" spans="2:3" x14ac:dyDescent="0.25">
      <c r="B41" t="s">
        <v>95</v>
      </c>
      <c r="C41" t="s">
        <v>96</v>
      </c>
    </row>
    <row r="42" spans="2:3" x14ac:dyDescent="0.25">
      <c r="B42" t="s">
        <v>97</v>
      </c>
      <c r="C42" t="s">
        <v>98</v>
      </c>
    </row>
    <row r="43" spans="2:3" x14ac:dyDescent="0.25">
      <c r="B43" t="s">
        <v>99</v>
      </c>
      <c r="C43" t="s">
        <v>100</v>
      </c>
    </row>
    <row r="44" spans="2:3" x14ac:dyDescent="0.25">
      <c r="B44" t="s">
        <v>101</v>
      </c>
      <c r="C44" t="s">
        <v>102</v>
      </c>
    </row>
    <row r="45" spans="2:3" x14ac:dyDescent="0.25">
      <c r="B45" t="s">
        <v>103</v>
      </c>
      <c r="C45" t="s">
        <v>104</v>
      </c>
    </row>
    <row r="46" spans="2:3" x14ac:dyDescent="0.25">
      <c r="B46" t="s">
        <v>105</v>
      </c>
      <c r="C46" t="s">
        <v>106</v>
      </c>
    </row>
    <row r="47" spans="2:3" x14ac:dyDescent="0.25">
      <c r="B47" t="s">
        <v>107</v>
      </c>
      <c r="C47" t="s">
        <v>108</v>
      </c>
    </row>
    <row r="48" spans="2:3" x14ac:dyDescent="0.25">
      <c r="B48" t="s">
        <v>109</v>
      </c>
      <c r="C48" t="s">
        <v>110</v>
      </c>
    </row>
    <row r="49" spans="2:3" x14ac:dyDescent="0.25">
      <c r="B49" t="s">
        <v>111</v>
      </c>
      <c r="C49" t="s">
        <v>112</v>
      </c>
    </row>
    <row r="50" spans="2:3" x14ac:dyDescent="0.25">
      <c r="B50" t="s">
        <v>113</v>
      </c>
      <c r="C50" t="s">
        <v>114</v>
      </c>
    </row>
    <row r="51" spans="2:3" x14ac:dyDescent="0.25">
      <c r="B51" t="s">
        <v>115</v>
      </c>
      <c r="C51" t="s">
        <v>116</v>
      </c>
    </row>
    <row r="52" spans="2:3" x14ac:dyDescent="0.25">
      <c r="B52" t="s">
        <v>117</v>
      </c>
      <c r="C52" t="s">
        <v>118</v>
      </c>
    </row>
    <row r="53" spans="2:3" x14ac:dyDescent="0.25">
      <c r="B53" t="s">
        <v>119</v>
      </c>
      <c r="C53" t="s">
        <v>120</v>
      </c>
    </row>
    <row r="54" spans="2:3" x14ac:dyDescent="0.25">
      <c r="B54" t="s">
        <v>121</v>
      </c>
      <c r="C54" t="s">
        <v>122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AF33-9F31-4A7B-8D0F-4117C56C1449}">
  <dimension ref="C5:L98"/>
  <sheetViews>
    <sheetView topLeftCell="A80" zoomScale="111" zoomScaleNormal="111" workbookViewId="0">
      <selection activeCell="C46" sqref="C46"/>
    </sheetView>
  </sheetViews>
  <sheetFormatPr baseColWidth="10" defaultRowHeight="15" x14ac:dyDescent="0.25"/>
  <cols>
    <col min="3" max="5" width="11.5703125" customWidth="1"/>
    <col min="6" max="6" width="17.5703125" customWidth="1"/>
    <col min="10" max="10" width="23.85546875" customWidth="1"/>
    <col min="12" max="12" width="20.42578125" bestFit="1" customWidth="1"/>
  </cols>
  <sheetData>
    <row r="5" spans="3:12" x14ac:dyDescent="0.25">
      <c r="C5" t="s">
        <v>163</v>
      </c>
      <c r="D5" t="s">
        <v>163</v>
      </c>
    </row>
    <row r="6" spans="3:12" x14ac:dyDescent="0.25">
      <c r="C6" t="s">
        <v>123</v>
      </c>
      <c r="D6" t="s">
        <v>124</v>
      </c>
      <c r="F6" t="str">
        <f t="shared" ref="F6:F27" ca="1" si="0">CONCATENATE(INDEX(nombres,ROUND(RAND()*39,0)+1)," ",INDEX($D$6:$D$45,ROUND(RAND()*39,0)+1))</f>
        <v>Carmen Gómez</v>
      </c>
      <c r="H6" t="s">
        <v>164</v>
      </c>
      <c r="I6" t="s">
        <v>165</v>
      </c>
      <c r="J6" t="str">
        <f ca="1">CONCATENATE(INDEX($H$6:$H$15,ROUND(RAND()*9,0)+1)," ",INDEX($I$6:$I$15,ROUND(RAND()*9,0)+1))</f>
        <v>James Brown</v>
      </c>
      <c r="L6" t="s">
        <v>318</v>
      </c>
    </row>
    <row r="7" spans="3:12" x14ac:dyDescent="0.25">
      <c r="C7" t="s">
        <v>125</v>
      </c>
      <c r="D7" t="s">
        <v>126</v>
      </c>
      <c r="F7" t="str">
        <f t="shared" ca="1" si="0"/>
        <v>Miguel Martínez</v>
      </c>
      <c r="H7" t="s">
        <v>166</v>
      </c>
      <c r="I7" t="s">
        <v>167</v>
      </c>
      <c r="J7" t="str">
        <f t="shared" ref="J7:J48" ca="1" si="1">CONCATENATE(INDEX($H$6:$H$15,ROUND(RAND()*9,0)+1)," ",INDEX($I$6:$I$15,ROUND(RAND()*9,0)+1))</f>
        <v>Charlotte Anderson</v>
      </c>
      <c r="L7" t="s">
        <v>319</v>
      </c>
    </row>
    <row r="8" spans="3:12" x14ac:dyDescent="0.25">
      <c r="C8" t="s">
        <v>127</v>
      </c>
      <c r="D8" t="s">
        <v>128</v>
      </c>
      <c r="F8" t="str">
        <f t="shared" ca="1" si="0"/>
        <v>Raquel Torres</v>
      </c>
      <c r="H8" t="s">
        <v>168</v>
      </c>
      <c r="I8" t="s">
        <v>169</v>
      </c>
      <c r="J8" t="str">
        <f t="shared" ca="1" si="1"/>
        <v>Olivia Johnson</v>
      </c>
      <c r="L8" t="s">
        <v>320</v>
      </c>
    </row>
    <row r="9" spans="3:12" x14ac:dyDescent="0.25">
      <c r="C9" t="s">
        <v>129</v>
      </c>
      <c r="D9" t="s">
        <v>130</v>
      </c>
      <c r="F9" t="str">
        <f t="shared" ca="1" si="0"/>
        <v>Sofía Díaz</v>
      </c>
      <c r="H9" t="s">
        <v>170</v>
      </c>
      <c r="I9" t="s">
        <v>171</v>
      </c>
      <c r="J9" t="str">
        <f t="shared" ca="1" si="1"/>
        <v>William Jackson</v>
      </c>
      <c r="L9" t="s">
        <v>321</v>
      </c>
    </row>
    <row r="10" spans="3:12" x14ac:dyDescent="0.25">
      <c r="C10" t="s">
        <v>131</v>
      </c>
      <c r="D10" t="s">
        <v>132</v>
      </c>
      <c r="F10" t="str">
        <f t="shared" ca="1" si="0"/>
        <v>Francisco Martínez</v>
      </c>
      <c r="H10" t="s">
        <v>172</v>
      </c>
      <c r="I10" t="s">
        <v>173</v>
      </c>
      <c r="J10" t="str">
        <f t="shared" ca="1" si="1"/>
        <v>Emma Davis</v>
      </c>
      <c r="L10" t="s">
        <v>322</v>
      </c>
    </row>
    <row r="11" spans="3:12" x14ac:dyDescent="0.25">
      <c r="C11" t="s">
        <v>133</v>
      </c>
      <c r="D11" t="s">
        <v>134</v>
      </c>
      <c r="F11" t="str">
        <f t="shared" ca="1" si="0"/>
        <v>Francisco Rodríguez</v>
      </c>
      <c r="H11" t="s">
        <v>174</v>
      </c>
      <c r="I11" t="s">
        <v>175</v>
      </c>
      <c r="J11" t="str">
        <f t="shared" ca="1" si="1"/>
        <v>Ethan Smith</v>
      </c>
      <c r="L11" t="s">
        <v>323</v>
      </c>
    </row>
    <row r="12" spans="3:12" x14ac:dyDescent="0.25">
      <c r="C12" t="s">
        <v>135</v>
      </c>
      <c r="D12" t="s">
        <v>136</v>
      </c>
      <c r="F12" t="str">
        <f t="shared" ca="1" si="0"/>
        <v>Laura Rodríguez</v>
      </c>
      <c r="H12" t="s">
        <v>176</v>
      </c>
      <c r="I12" t="s">
        <v>177</v>
      </c>
      <c r="J12" t="str">
        <f t="shared" ca="1" si="1"/>
        <v>Charlotte Brown</v>
      </c>
      <c r="L12" t="s">
        <v>324</v>
      </c>
    </row>
    <row r="13" spans="3:12" x14ac:dyDescent="0.25">
      <c r="C13" t="s">
        <v>137</v>
      </c>
      <c r="D13" t="s">
        <v>138</v>
      </c>
      <c r="F13" t="str">
        <f t="shared" ca="1" si="0"/>
        <v>Isabel Pérez</v>
      </c>
      <c r="H13" t="s">
        <v>178</v>
      </c>
      <c r="I13" t="s">
        <v>179</v>
      </c>
      <c r="J13" t="str">
        <f t="shared" ca="1" si="1"/>
        <v>Ethan Johnson</v>
      </c>
      <c r="L13" t="s">
        <v>325</v>
      </c>
    </row>
    <row r="14" spans="3:12" x14ac:dyDescent="0.25">
      <c r="C14" t="s">
        <v>139</v>
      </c>
      <c r="D14" t="s">
        <v>140</v>
      </c>
      <c r="F14" t="str">
        <f t="shared" ca="1" si="0"/>
        <v>Juan Gómez</v>
      </c>
      <c r="H14" t="s">
        <v>180</v>
      </c>
      <c r="I14" t="s">
        <v>181</v>
      </c>
      <c r="J14" t="str">
        <f t="shared" ca="1" si="1"/>
        <v>Ethan Anderson</v>
      </c>
      <c r="L14" t="s">
        <v>326</v>
      </c>
    </row>
    <row r="15" spans="3:12" x14ac:dyDescent="0.25">
      <c r="C15" t="s">
        <v>141</v>
      </c>
      <c r="D15" t="s">
        <v>142</v>
      </c>
      <c r="F15" t="str">
        <f t="shared" ca="1" si="0"/>
        <v>Carmen Gómez</v>
      </c>
      <c r="H15" t="s">
        <v>182</v>
      </c>
      <c r="I15" t="s">
        <v>183</v>
      </c>
      <c r="J15" t="str">
        <f t="shared" ca="1" si="1"/>
        <v>Olivia Miller</v>
      </c>
      <c r="L15" t="s">
        <v>327</v>
      </c>
    </row>
    <row r="16" spans="3:12" x14ac:dyDescent="0.25">
      <c r="C16" t="s">
        <v>143</v>
      </c>
      <c r="D16" t="s">
        <v>144</v>
      </c>
      <c r="F16" t="str">
        <f t="shared" ca="1" si="0"/>
        <v>Miguel Rodríguez</v>
      </c>
      <c r="J16" t="str">
        <f ca="1">CONCATENATE(INDEX($H$6:$H$15,ROUND(RAND()*9,0)+1)," ",INDEX($I$6:$I$15,ROUND(RAND()*9,0)+1))</f>
        <v>Emily Johnson</v>
      </c>
      <c r="L16" t="s">
        <v>328</v>
      </c>
    </row>
    <row r="17" spans="3:12" x14ac:dyDescent="0.25">
      <c r="C17" t="s">
        <v>145</v>
      </c>
      <c r="D17" t="s">
        <v>146</v>
      </c>
      <c r="F17" t="str">
        <f t="shared" ca="1" si="0"/>
        <v>Ana Sánchez</v>
      </c>
      <c r="J17" t="str">
        <f t="shared" ca="1" si="1"/>
        <v>Ethan Johnson</v>
      </c>
      <c r="L17" t="s">
        <v>329</v>
      </c>
    </row>
    <row r="18" spans="3:12" x14ac:dyDescent="0.25">
      <c r="C18" t="s">
        <v>147</v>
      </c>
      <c r="D18" t="s">
        <v>148</v>
      </c>
      <c r="F18" t="str">
        <f t="shared" ca="1" si="0"/>
        <v>Jorge Muñoz</v>
      </c>
      <c r="J18" t="str">
        <f t="shared" ca="1" si="1"/>
        <v>Sophia Miller</v>
      </c>
      <c r="L18" t="s">
        <v>330</v>
      </c>
    </row>
    <row r="19" spans="3:12" x14ac:dyDescent="0.25">
      <c r="C19" t="s">
        <v>149</v>
      </c>
      <c r="D19" t="s">
        <v>150</v>
      </c>
      <c r="F19" t="str">
        <f t="shared" ca="1" si="0"/>
        <v>Raquel López</v>
      </c>
      <c r="J19" t="str">
        <f t="shared" ca="1" si="1"/>
        <v>Alexander Johnson</v>
      </c>
      <c r="L19" t="s">
        <v>331</v>
      </c>
    </row>
    <row r="20" spans="3:12" x14ac:dyDescent="0.25">
      <c r="C20" t="s">
        <v>151</v>
      </c>
      <c r="D20" t="s">
        <v>152</v>
      </c>
      <c r="F20" t="str">
        <f t="shared" ca="1" si="0"/>
        <v>Carmen Díaz</v>
      </c>
      <c r="J20" t="str">
        <f t="shared" ca="1" si="1"/>
        <v>Olivia Anderson</v>
      </c>
      <c r="L20" t="s">
        <v>332</v>
      </c>
    </row>
    <row r="21" spans="3:12" x14ac:dyDescent="0.25">
      <c r="C21" t="s">
        <v>153</v>
      </c>
      <c r="D21" t="s">
        <v>154</v>
      </c>
      <c r="F21" t="str">
        <f t="shared" ca="1" si="0"/>
        <v>Paula Muñoz</v>
      </c>
      <c r="J21" t="str">
        <f t="shared" ca="1" si="1"/>
        <v>Charlotte Johnson</v>
      </c>
      <c r="L21" t="s">
        <v>333</v>
      </c>
    </row>
    <row r="22" spans="3:12" x14ac:dyDescent="0.25">
      <c r="C22" t="s">
        <v>155</v>
      </c>
      <c r="D22" t="s">
        <v>156</v>
      </c>
      <c r="F22" t="str">
        <f t="shared" ca="1" si="0"/>
        <v>Ana Sánchez</v>
      </c>
      <c r="J22" t="str">
        <f t="shared" ca="1" si="1"/>
        <v>Ethan Brown</v>
      </c>
      <c r="L22" t="s">
        <v>334</v>
      </c>
    </row>
    <row r="23" spans="3:12" x14ac:dyDescent="0.25">
      <c r="C23" t="s">
        <v>157</v>
      </c>
      <c r="D23" t="s">
        <v>158</v>
      </c>
      <c r="F23" t="str">
        <f t="shared" ca="1" si="0"/>
        <v>Francisco López</v>
      </c>
      <c r="J23" t="str">
        <f t="shared" ca="1" si="1"/>
        <v>Emma Anderson</v>
      </c>
      <c r="L23" t="s">
        <v>335</v>
      </c>
    </row>
    <row r="24" spans="3:12" x14ac:dyDescent="0.25">
      <c r="C24" t="s">
        <v>159</v>
      </c>
      <c r="D24" t="s">
        <v>160</v>
      </c>
      <c r="F24" t="str">
        <f t="shared" ca="1" si="0"/>
        <v>Ana Ruiz</v>
      </c>
      <c r="J24" t="str">
        <f t="shared" ca="1" si="1"/>
        <v>James Brown</v>
      </c>
      <c r="L24" t="s">
        <v>336</v>
      </c>
    </row>
    <row r="25" spans="3:12" x14ac:dyDescent="0.25">
      <c r="C25" t="s">
        <v>161</v>
      </c>
      <c r="D25" t="s">
        <v>162</v>
      </c>
      <c r="F25" t="str">
        <f t="shared" ca="1" si="0"/>
        <v>Juan Ruiz</v>
      </c>
      <c r="J25" t="str">
        <f t="shared" ca="1" si="1"/>
        <v>Emma Taylor</v>
      </c>
      <c r="L25" t="s">
        <v>337</v>
      </c>
    </row>
    <row r="26" spans="3:12" x14ac:dyDescent="0.25">
      <c r="C26" t="s">
        <v>123</v>
      </c>
      <c r="D26" t="s">
        <v>124</v>
      </c>
      <c r="F26" t="str">
        <f t="shared" ca="1" si="0"/>
        <v>Paula Sánchez</v>
      </c>
      <c r="J26" t="str">
        <f t="shared" ca="1" si="1"/>
        <v>Olivia Brown</v>
      </c>
      <c r="L26" t="s">
        <v>338</v>
      </c>
    </row>
    <row r="27" spans="3:12" x14ac:dyDescent="0.25">
      <c r="C27" t="s">
        <v>125</v>
      </c>
      <c r="D27" t="s">
        <v>126</v>
      </c>
      <c r="F27" t="str">
        <f t="shared" ca="1" si="0"/>
        <v>Laura Muñoz</v>
      </c>
      <c r="J27" t="str">
        <f t="shared" ca="1" si="1"/>
        <v>Alexander Jackson</v>
      </c>
      <c r="L27" t="s">
        <v>339</v>
      </c>
    </row>
    <row r="28" spans="3:12" x14ac:dyDescent="0.25">
      <c r="C28" t="s">
        <v>127</v>
      </c>
      <c r="D28" t="s">
        <v>128</v>
      </c>
      <c r="J28" t="str">
        <f t="shared" ca="1" si="1"/>
        <v>Alexander Moore</v>
      </c>
      <c r="L28" t="s">
        <v>340</v>
      </c>
    </row>
    <row r="29" spans="3:12" x14ac:dyDescent="0.25">
      <c r="C29" t="s">
        <v>129</v>
      </c>
      <c r="D29" t="s">
        <v>130</v>
      </c>
      <c r="J29" t="str">
        <f t="shared" ca="1" si="1"/>
        <v>Benjamin Wilson</v>
      </c>
      <c r="L29" t="s">
        <v>341</v>
      </c>
    </row>
    <row r="30" spans="3:12" x14ac:dyDescent="0.25">
      <c r="C30" t="s">
        <v>131</v>
      </c>
      <c r="D30" t="s">
        <v>132</v>
      </c>
      <c r="J30" t="str">
        <f t="shared" ca="1" si="1"/>
        <v>Emma Davis</v>
      </c>
      <c r="L30" t="s">
        <v>342</v>
      </c>
    </row>
    <row r="31" spans="3:12" x14ac:dyDescent="0.25">
      <c r="C31" t="s">
        <v>133</v>
      </c>
      <c r="D31" t="s">
        <v>134</v>
      </c>
      <c r="J31" t="str">
        <f t="shared" ca="1" si="1"/>
        <v>Emma Wilson</v>
      </c>
      <c r="L31" t="s">
        <v>343</v>
      </c>
    </row>
    <row r="32" spans="3:12" x14ac:dyDescent="0.25">
      <c r="C32" t="s">
        <v>135</v>
      </c>
      <c r="D32" t="s">
        <v>136</v>
      </c>
      <c r="J32" t="str">
        <f t="shared" ca="1" si="1"/>
        <v>Emma Miller</v>
      </c>
      <c r="L32" t="s">
        <v>344</v>
      </c>
    </row>
    <row r="33" spans="3:12" x14ac:dyDescent="0.25">
      <c r="C33" t="s">
        <v>137</v>
      </c>
      <c r="D33" t="s">
        <v>138</v>
      </c>
      <c r="J33" t="str">
        <f t="shared" ca="1" si="1"/>
        <v>Ethan Miller</v>
      </c>
      <c r="L33" t="s">
        <v>345</v>
      </c>
    </row>
    <row r="34" spans="3:12" x14ac:dyDescent="0.25">
      <c r="C34" t="s">
        <v>139</v>
      </c>
      <c r="D34" t="s">
        <v>140</v>
      </c>
      <c r="J34" t="str">
        <f t="shared" ca="1" si="1"/>
        <v>Benjamin Moore</v>
      </c>
      <c r="L34" t="s">
        <v>346</v>
      </c>
    </row>
    <row r="35" spans="3:12" x14ac:dyDescent="0.25">
      <c r="C35" t="s">
        <v>141</v>
      </c>
      <c r="D35" t="s">
        <v>142</v>
      </c>
      <c r="J35" t="str">
        <f t="shared" ca="1" si="1"/>
        <v>Sophia Anderson</v>
      </c>
      <c r="L35" t="s">
        <v>347</v>
      </c>
    </row>
    <row r="36" spans="3:12" x14ac:dyDescent="0.25">
      <c r="C36" t="s">
        <v>143</v>
      </c>
      <c r="D36" t="s">
        <v>144</v>
      </c>
      <c r="J36" t="str">
        <f t="shared" ca="1" si="1"/>
        <v>Charlotte Davis</v>
      </c>
      <c r="L36" t="s">
        <v>348</v>
      </c>
    </row>
    <row r="37" spans="3:12" x14ac:dyDescent="0.25">
      <c r="C37" t="s">
        <v>145</v>
      </c>
      <c r="D37" t="s">
        <v>146</v>
      </c>
      <c r="J37" t="str">
        <f t="shared" ca="1" si="1"/>
        <v>Olivia Smith</v>
      </c>
      <c r="L37" t="s">
        <v>349</v>
      </c>
    </row>
    <row r="38" spans="3:12" x14ac:dyDescent="0.25">
      <c r="C38" t="s">
        <v>147</v>
      </c>
      <c r="D38" t="s">
        <v>148</v>
      </c>
      <c r="J38" t="str">
        <f t="shared" ca="1" si="1"/>
        <v>Charlotte Davis</v>
      </c>
      <c r="L38" t="s">
        <v>350</v>
      </c>
    </row>
    <row r="39" spans="3:12" x14ac:dyDescent="0.25">
      <c r="C39" t="s">
        <v>149</v>
      </c>
      <c r="D39" t="s">
        <v>150</v>
      </c>
      <c r="J39" t="str">
        <f t="shared" ca="1" si="1"/>
        <v>Alexander Brown</v>
      </c>
      <c r="L39" t="s">
        <v>351</v>
      </c>
    </row>
    <row r="40" spans="3:12" x14ac:dyDescent="0.25">
      <c r="C40" t="s">
        <v>151</v>
      </c>
      <c r="D40" t="s">
        <v>152</v>
      </c>
      <c r="J40" t="str">
        <f t="shared" ca="1" si="1"/>
        <v>William Brown</v>
      </c>
      <c r="L40" t="s">
        <v>352</v>
      </c>
    </row>
    <row r="41" spans="3:12" x14ac:dyDescent="0.25">
      <c r="C41" t="s">
        <v>153</v>
      </c>
      <c r="D41" t="s">
        <v>154</v>
      </c>
      <c r="J41" t="str">
        <f t="shared" ca="1" si="1"/>
        <v>Emma Miller</v>
      </c>
      <c r="L41" t="s">
        <v>353</v>
      </c>
    </row>
    <row r="42" spans="3:12" x14ac:dyDescent="0.25">
      <c r="C42" t="s">
        <v>155</v>
      </c>
      <c r="D42" t="s">
        <v>156</v>
      </c>
      <c r="J42" t="str">
        <f t="shared" ca="1" si="1"/>
        <v>Sophia Anderson</v>
      </c>
      <c r="L42" t="s">
        <v>354</v>
      </c>
    </row>
    <row r="43" spans="3:12" x14ac:dyDescent="0.25">
      <c r="C43" t="s">
        <v>157</v>
      </c>
      <c r="D43" t="s">
        <v>158</v>
      </c>
      <c r="J43" t="str">
        <f t="shared" ca="1" si="1"/>
        <v>Charlotte Taylor</v>
      </c>
      <c r="L43" t="s">
        <v>355</v>
      </c>
    </row>
    <row r="44" spans="3:12" x14ac:dyDescent="0.25">
      <c r="C44" t="s">
        <v>159</v>
      </c>
      <c r="D44" t="s">
        <v>160</v>
      </c>
      <c r="J44" t="str">
        <f t="shared" ca="1" si="1"/>
        <v>Alexander Davis</v>
      </c>
      <c r="L44" t="s">
        <v>25</v>
      </c>
    </row>
    <row r="45" spans="3:12" x14ac:dyDescent="0.25">
      <c r="C45" t="s">
        <v>161</v>
      </c>
      <c r="D45" t="s">
        <v>162</v>
      </c>
      <c r="J45" t="str">
        <f t="shared" ca="1" si="1"/>
        <v>Ethan Miller</v>
      </c>
      <c r="L45" t="s">
        <v>356</v>
      </c>
    </row>
    <row r="46" spans="3:12" x14ac:dyDescent="0.25">
      <c r="J46" t="str">
        <f t="shared" ca="1" si="1"/>
        <v>Emily Brown</v>
      </c>
      <c r="L46" t="s">
        <v>357</v>
      </c>
    </row>
    <row r="47" spans="3:12" x14ac:dyDescent="0.25">
      <c r="J47" t="str">
        <f t="shared" ca="1" si="1"/>
        <v>Emma Anderson</v>
      </c>
      <c r="L47" t="s">
        <v>358</v>
      </c>
    </row>
    <row r="48" spans="3:12" x14ac:dyDescent="0.25">
      <c r="J48" t="str">
        <f t="shared" ca="1" si="1"/>
        <v>Emily Wilson</v>
      </c>
      <c r="L48" t="s">
        <v>359</v>
      </c>
    </row>
    <row r="49" spans="12:12" x14ac:dyDescent="0.25">
      <c r="L49" t="s">
        <v>360</v>
      </c>
    </row>
    <row r="50" spans="12:12" x14ac:dyDescent="0.25">
      <c r="L50" t="s">
        <v>361</v>
      </c>
    </row>
    <row r="51" spans="12:12" x14ac:dyDescent="0.25">
      <c r="L51" t="s">
        <v>362</v>
      </c>
    </row>
    <row r="52" spans="12:12" x14ac:dyDescent="0.25">
      <c r="L52" t="s">
        <v>363</v>
      </c>
    </row>
    <row r="53" spans="12:12" x14ac:dyDescent="0.25">
      <c r="L53" t="s">
        <v>364</v>
      </c>
    </row>
    <row r="54" spans="12:12" x14ac:dyDescent="0.25">
      <c r="L54" t="s">
        <v>365</v>
      </c>
    </row>
    <row r="55" spans="12:12" x14ac:dyDescent="0.25">
      <c r="L55" t="s">
        <v>366</v>
      </c>
    </row>
    <row r="56" spans="12:12" x14ac:dyDescent="0.25">
      <c r="L56" t="s">
        <v>367</v>
      </c>
    </row>
    <row r="57" spans="12:12" x14ac:dyDescent="0.25">
      <c r="L57" t="s">
        <v>368</v>
      </c>
    </row>
    <row r="58" spans="12:12" x14ac:dyDescent="0.25">
      <c r="L58" t="s">
        <v>369</v>
      </c>
    </row>
    <row r="59" spans="12:12" x14ac:dyDescent="0.25">
      <c r="L59" t="s">
        <v>370</v>
      </c>
    </row>
    <row r="60" spans="12:12" x14ac:dyDescent="0.25">
      <c r="L60" t="s">
        <v>371</v>
      </c>
    </row>
    <row r="61" spans="12:12" x14ac:dyDescent="0.25">
      <c r="L61" t="s">
        <v>372</v>
      </c>
    </row>
    <row r="62" spans="12:12" x14ac:dyDescent="0.25">
      <c r="L62" t="s">
        <v>373</v>
      </c>
    </row>
    <row r="63" spans="12:12" x14ac:dyDescent="0.25">
      <c r="L63" t="s">
        <v>374</v>
      </c>
    </row>
    <row r="64" spans="12:12" x14ac:dyDescent="0.25">
      <c r="L64" t="s">
        <v>375</v>
      </c>
    </row>
    <row r="65" spans="12:12" x14ac:dyDescent="0.25">
      <c r="L65" t="s">
        <v>376</v>
      </c>
    </row>
    <row r="66" spans="12:12" x14ac:dyDescent="0.25">
      <c r="L66" t="s">
        <v>377</v>
      </c>
    </row>
    <row r="67" spans="12:12" x14ac:dyDescent="0.25">
      <c r="L67" t="s">
        <v>378</v>
      </c>
    </row>
    <row r="68" spans="12:12" x14ac:dyDescent="0.25">
      <c r="L68" t="s">
        <v>379</v>
      </c>
    </row>
    <row r="69" spans="12:12" x14ac:dyDescent="0.25">
      <c r="L69" t="s">
        <v>380</v>
      </c>
    </row>
    <row r="70" spans="12:12" x14ac:dyDescent="0.25">
      <c r="L70" t="s">
        <v>381</v>
      </c>
    </row>
    <row r="71" spans="12:12" x14ac:dyDescent="0.25">
      <c r="L71" t="s">
        <v>382</v>
      </c>
    </row>
    <row r="72" spans="12:12" x14ac:dyDescent="0.25">
      <c r="L72" t="s">
        <v>383</v>
      </c>
    </row>
    <row r="73" spans="12:12" x14ac:dyDescent="0.25">
      <c r="L73" t="s">
        <v>384</v>
      </c>
    </row>
    <row r="74" spans="12:12" x14ac:dyDescent="0.25">
      <c r="L74" t="s">
        <v>385</v>
      </c>
    </row>
    <row r="75" spans="12:12" x14ac:dyDescent="0.25">
      <c r="L75" t="s">
        <v>386</v>
      </c>
    </row>
    <row r="76" spans="12:12" x14ac:dyDescent="0.25">
      <c r="L76" t="s">
        <v>387</v>
      </c>
    </row>
    <row r="77" spans="12:12" x14ac:dyDescent="0.25">
      <c r="L77" t="s">
        <v>388</v>
      </c>
    </row>
    <row r="78" spans="12:12" x14ac:dyDescent="0.25">
      <c r="L78" t="s">
        <v>389</v>
      </c>
    </row>
    <row r="79" spans="12:12" x14ac:dyDescent="0.25">
      <c r="L79" t="s">
        <v>390</v>
      </c>
    </row>
    <row r="80" spans="12:12" x14ac:dyDescent="0.25">
      <c r="L80" t="s">
        <v>391</v>
      </c>
    </row>
    <row r="81" spans="12:12" x14ac:dyDescent="0.25">
      <c r="L81" t="s">
        <v>392</v>
      </c>
    </row>
    <row r="82" spans="12:12" x14ac:dyDescent="0.25">
      <c r="L82" t="s">
        <v>393</v>
      </c>
    </row>
    <row r="83" spans="12:12" x14ac:dyDescent="0.25">
      <c r="L83" t="s">
        <v>394</v>
      </c>
    </row>
    <row r="84" spans="12:12" x14ac:dyDescent="0.25">
      <c r="L84" t="s">
        <v>395</v>
      </c>
    </row>
    <row r="85" spans="12:12" x14ac:dyDescent="0.25">
      <c r="L85" t="s">
        <v>396</v>
      </c>
    </row>
    <row r="86" spans="12:12" x14ac:dyDescent="0.25">
      <c r="L86" t="s">
        <v>397</v>
      </c>
    </row>
    <row r="87" spans="12:12" x14ac:dyDescent="0.25">
      <c r="L87" t="s">
        <v>398</v>
      </c>
    </row>
    <row r="88" spans="12:12" x14ac:dyDescent="0.25">
      <c r="L88" t="s">
        <v>399</v>
      </c>
    </row>
    <row r="89" spans="12:12" x14ac:dyDescent="0.25">
      <c r="L89" t="s">
        <v>400</v>
      </c>
    </row>
    <row r="90" spans="12:12" x14ac:dyDescent="0.25">
      <c r="L90" t="s">
        <v>401</v>
      </c>
    </row>
    <row r="91" spans="12:12" x14ac:dyDescent="0.25">
      <c r="L91" t="s">
        <v>402</v>
      </c>
    </row>
    <row r="92" spans="12:12" x14ac:dyDescent="0.25">
      <c r="L92" t="s">
        <v>403</v>
      </c>
    </row>
    <row r="93" spans="12:12" x14ac:dyDescent="0.25">
      <c r="L93" t="s">
        <v>404</v>
      </c>
    </row>
    <row r="94" spans="12:12" x14ac:dyDescent="0.25">
      <c r="L94" t="s">
        <v>405</v>
      </c>
    </row>
    <row r="95" spans="12:12" x14ac:dyDescent="0.25">
      <c r="L95" t="s">
        <v>406</v>
      </c>
    </row>
    <row r="96" spans="12:12" x14ac:dyDescent="0.25">
      <c r="L96" t="s">
        <v>407</v>
      </c>
    </row>
    <row r="97" spans="12:12" x14ac:dyDescent="0.25">
      <c r="L97" t="s">
        <v>408</v>
      </c>
    </row>
    <row r="98" spans="12:12" x14ac:dyDescent="0.25">
      <c r="L98" t="s">
        <v>409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Camioneros</vt:lpstr>
      <vt:lpstr>Camiones</vt:lpstr>
      <vt:lpstr>Tipo</vt:lpstr>
      <vt:lpstr>Distribuciones</vt:lpstr>
      <vt:lpstr>Paquetes</vt:lpstr>
      <vt:lpstr>Destinatario</vt:lpstr>
      <vt:lpstr>dirección</vt:lpstr>
      <vt:lpstr>Calles</vt:lpstr>
      <vt:lpstr>Provincias</vt:lpstr>
      <vt:lpstr>Hoja6</vt:lpstr>
      <vt:lpstr>apellidos</vt:lpstr>
      <vt:lpstr>Camioneros</vt:lpstr>
      <vt:lpstr>Camiones</vt:lpstr>
      <vt:lpstr>Direccion</vt:lpstr>
      <vt:lpstr>Distribuciones</vt:lpstr>
      <vt:lpstr>nombres</vt:lpstr>
      <vt:lpstr>Paquetes</vt:lpstr>
      <vt:lpstr>Provincias</vt:lpstr>
      <vt:lpstr>Tipo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Usuaario</dc:creator>
  <cp:lastModifiedBy>Guillermo Aguirre</cp:lastModifiedBy>
  <dcterms:created xsi:type="dcterms:W3CDTF">2023-03-27T20:49:07Z</dcterms:created>
  <dcterms:modified xsi:type="dcterms:W3CDTF">2023-04-03T14:29:14Z</dcterms:modified>
</cp:coreProperties>
</file>