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urso de Informática/"/>
    </mc:Choice>
  </mc:AlternateContent>
  <xr:revisionPtr revIDLastSave="609" documentId="8_{941E3F28-E0DF-4BB0-9FE1-FDE2036BD4AE}" xr6:coauthVersionLast="47" xr6:coauthVersionMax="47" xr10:uidLastSave="{5E5435A3-093E-41D9-A818-66DE9A7A4BD6}"/>
  <bookViews>
    <workbookView xWindow="-120" yWindow="-120" windowWidth="20730" windowHeight="11310" xr2:uid="{E0310F85-3F3C-4B41-B89E-E159A8EBD531}"/>
  </bookViews>
  <sheets>
    <sheet name="Grupo 1" sheetId="2" r:id="rId1"/>
    <sheet name="Grupo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37" i="2"/>
  <c r="N22" i="2" l="1"/>
  <c r="N3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O17" i="3"/>
  <c r="O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</calcChain>
</file>

<file path=xl/sharedStrings.xml><?xml version="1.0" encoding="utf-8"?>
<sst xmlns="http://schemas.openxmlformats.org/spreadsheetml/2006/main" count="127" uniqueCount="114">
  <si>
    <t>Lanza Avilez Diana Judith</t>
  </si>
  <si>
    <t>N</t>
  </si>
  <si>
    <t>Rodriguez Bustos Edwin José</t>
  </si>
  <si>
    <t>Granja Vega Miguel Alberto</t>
  </si>
  <si>
    <t>Nuñez Katie Azusena</t>
  </si>
  <si>
    <t xml:space="preserve">Caballero Cortez Jareth Anahí </t>
  </si>
  <si>
    <t>Calero Hernandez María Gelen</t>
  </si>
  <si>
    <t>Aguilar Gutierrez Johan Javier</t>
  </si>
  <si>
    <t>Sánchez Sandino Juan Diego</t>
  </si>
  <si>
    <t>Bojorge Gonzales Jordan Arturo</t>
  </si>
  <si>
    <t>Rocha Espinoza Juan Ramón</t>
  </si>
  <si>
    <t>López Obando Luiz Adrían</t>
  </si>
  <si>
    <t>Calderón Gutierrez Wendy Elena</t>
  </si>
  <si>
    <t xml:space="preserve">Santana Milagro Auxiliadora </t>
  </si>
  <si>
    <t>Martinez Obregón Yeslin Raquel</t>
  </si>
  <si>
    <t>López Moreno Stefany Luciana</t>
  </si>
  <si>
    <t>Hurtado Bello María Fernanda</t>
  </si>
  <si>
    <t>Martinez Romero Hector Isaac</t>
  </si>
  <si>
    <t>Alcocer Briseño Juan José</t>
  </si>
  <si>
    <t>Ruiz Rodriguez Carlos Saul</t>
  </si>
  <si>
    <t>Urbina Sánchez Hany Nahomy</t>
  </si>
  <si>
    <t>Herrera Martinez Kendy Andrea</t>
  </si>
  <si>
    <t>Caballero Castillo María Rebeca</t>
  </si>
  <si>
    <t>Pérez Espinoza Tatiana De los Angeles</t>
  </si>
  <si>
    <t>Ruiz Rodriguez Ángel Imanol</t>
  </si>
  <si>
    <t>Jarquín Rodriguez Gloria Iveth</t>
  </si>
  <si>
    <t>Herrera Guevara Rhina Paola</t>
  </si>
  <si>
    <t>Ruiz Zeledón Hazel Mayerling</t>
  </si>
  <si>
    <t>Baltodano Castro Sasha Massiel</t>
  </si>
  <si>
    <t>Nombre</t>
  </si>
  <si>
    <t>Solis López Maria Gabriela</t>
  </si>
  <si>
    <t>Carnet</t>
  </si>
  <si>
    <t>Alvarez Chavarría Arle Fernando</t>
  </si>
  <si>
    <t>Reyes Romero Carlos Benito</t>
  </si>
  <si>
    <t>Paizano Barahona Cindy Marcela</t>
  </si>
  <si>
    <t>Argeñal Guzman Sara Elena</t>
  </si>
  <si>
    <t>Areas Espinoza Grey Nazareth</t>
  </si>
  <si>
    <t>Aragón López Daniela Maricela</t>
  </si>
  <si>
    <t>Alvarado Rocha Mary Melissa</t>
  </si>
  <si>
    <t>Amador Cantillano Scarleth Vanessa</t>
  </si>
  <si>
    <t>Baltodano Vasquez Jubelkis Fabiola</t>
  </si>
  <si>
    <t>Carmona Pérez Anishelles Yariellys</t>
  </si>
  <si>
    <t>Gavilán López Dimas Isaias</t>
  </si>
  <si>
    <t>Ibarra Morales Félix Alejandro</t>
  </si>
  <si>
    <t>Tiffer Valencia Norma Guadalupe</t>
  </si>
  <si>
    <t>Vega Granados Carlos Mauricio</t>
  </si>
  <si>
    <t>Victor Mendoza Ashley Massiel</t>
  </si>
  <si>
    <t>Amador Morales Francis Anneth</t>
  </si>
  <si>
    <t>Bustos Cano David Jose</t>
  </si>
  <si>
    <t xml:space="preserve">Pavón Otero Erick David </t>
  </si>
  <si>
    <t>Baldelomar Incer Ashly Gisselle</t>
  </si>
  <si>
    <t>Cruz Delgado Eduardo Josué</t>
  </si>
  <si>
    <t>Palma Morales Edwin Smith</t>
  </si>
  <si>
    <t>Baldelomar Mendoza Robin Daniel</t>
  </si>
  <si>
    <t>Baldelomar Jiménez Mauricio José</t>
  </si>
  <si>
    <t xml:space="preserve">Rayo Jordan Steven </t>
  </si>
  <si>
    <t>Chávez Fonseca Esterlin Javier</t>
  </si>
  <si>
    <t>Guevara Abarca Vladimir Neil</t>
  </si>
  <si>
    <t xml:space="preserve">Meza Nancy Fabiola </t>
  </si>
  <si>
    <t>Díaz Domínguez Martha Elieth</t>
  </si>
  <si>
    <t>Cerda Pereira Jorge Luis</t>
  </si>
  <si>
    <t>Zúniga Ruiz Jeremy Joharly</t>
  </si>
  <si>
    <t>Martínez Díaz María Luisa</t>
  </si>
  <si>
    <t>Espinoza Urbina Helen Carolina</t>
  </si>
  <si>
    <t>Miranda Obando Celina Daniela Auxiliadora</t>
  </si>
  <si>
    <t>Morales Domínguez Milagros Fernanda</t>
  </si>
  <si>
    <t>Ruiz Juarez Jessica Massiel</t>
  </si>
  <si>
    <t>Castro Fonseca Horvin Dariel</t>
  </si>
  <si>
    <t>López Mercado Eliam Santiago</t>
  </si>
  <si>
    <t>Morales Condega Kevin Josué</t>
  </si>
  <si>
    <t>2240019</t>
  </si>
  <si>
    <t>2240012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</si>
  <si>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</si>
  <si>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</si>
  <si>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</si>
  <si>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</si>
  <si>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</si>
  <si>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</si>
  <si>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</si>
  <si>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</si>
  <si>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</si>
  <si>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</si>
  <si>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Martinez Vargas Celia Xaviera</t>
  </si>
  <si>
    <t>Pérez Alejandra</t>
  </si>
  <si>
    <t xml:space="preserve">Ocón Escorcia María Gabriela </t>
  </si>
  <si>
    <t>NF</t>
  </si>
  <si>
    <t>Cerda López Angel Oswaldo</t>
  </si>
  <si>
    <t>Alcoser Lanza Edith Gisell</t>
  </si>
  <si>
    <t>Bojorge Santana Mederith Mackensy</t>
  </si>
  <si>
    <t>Cerda Rivera Bertha Alicia</t>
  </si>
  <si>
    <t>Fletes Obando Brigeth Yolanda</t>
  </si>
  <si>
    <t>López Mora Betzayda Ninoska</t>
  </si>
  <si>
    <t>Macis Rodriguez Ángel Gabriel</t>
  </si>
  <si>
    <t>Mendoza Masis Alexa Dayana</t>
  </si>
  <si>
    <t>Perez Morales Meyling Yahoska</t>
  </si>
  <si>
    <t>Torres Álvarez Ashly Milagro</t>
  </si>
  <si>
    <t>Tenorio Bustos Anderson Yamil</t>
  </si>
  <si>
    <t>Vado Garcia Marcela Patricia</t>
  </si>
  <si>
    <t xml:space="preserve">Irigoyen Gonzalez Eduardo Brayan </t>
  </si>
  <si>
    <t>2140085</t>
  </si>
  <si>
    <t>Espinoza Gomez Francis Massiel</t>
  </si>
  <si>
    <t>2140004</t>
  </si>
  <si>
    <t>2140058</t>
  </si>
  <si>
    <t>2040185</t>
  </si>
  <si>
    <t>Garcia Navas Juliana Isabella</t>
  </si>
  <si>
    <t>2140068</t>
  </si>
  <si>
    <t>Pasos Morales Rafael Alcides</t>
  </si>
  <si>
    <t>2340236</t>
  </si>
  <si>
    <t>2040005</t>
  </si>
  <si>
    <t xml:space="preserve">Morales Rodriguez Karla Vanesa </t>
  </si>
  <si>
    <t>2340426</t>
  </si>
  <si>
    <t>2040110</t>
  </si>
  <si>
    <t>1940031</t>
  </si>
  <si>
    <t xml:space="preserve">Aguirre Villarreal Klaudia Isabel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</si>
</sst>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9" fontId="0" fillId="0" borderId="1" xfId="0" applyNumberFormat="1" applyBorder="1"/>
    <xf numFmtId="0" fontId="0" fillId="0" borderId="1" xfId="0" applyBorder="1"/>
    <xf numFmtId="0" fontId="0" fillId="0" borderId="6" xfId="0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2" borderId="0" xfId="0" applyFill="1"/>
  </cellXfs>
  <cellStyles count="1">
    <cellStyle name="Normal" xfId="0" builtinId="0"/>
  </cellStyles>
  <dxfs count="2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A8D61-D658-4FFF-A321-1AFAB6F49FCF}" name="Tabla1" displayName="Tabla1" ref="B2:N55" totalsRowShown="0" headerRowDxfId="21" headerRowBorderDxfId="20" tableBorderDxfId="19" totalsRowBorderDxfId="18">
  <autoFilter ref="B2:N55" xr:uid="{CCBA8D61-D658-4FFF-A321-1AFAB6F49FCF}"/>
  <sortState xmlns:xlrd2="http://schemas.microsoft.com/office/spreadsheetml/2017/richdata2" ref="B3:N55">
    <sortCondition ref="C2:C55"/>
  </sortState>
  <tableColumns count="13">
    <tableColumn id="1" xr3:uid="{39B39E8D-FA65-4572-93AF-2BB630D47B51}" name="N" dataDxfId="17"/>
    <tableColumn id="2" xr3:uid="{ECD46A57-339A-4495-8ADA-0FE392D88128}" name="Nombre" dataDxfId="16"/>
    <tableColumn id="3" xr3:uid="{03EBB053-9167-46E8-B52A-88CA14D2FED1}" name="Carnet" dataDxfId="15"/>
    <tableColumn id="4" xr3:uid="{27457F43-9705-4D58-BD93-555F950AF725}" name="N1" dataDxfId="14"/>
    <tableColumn id="5" xr3:uid="{AEE706C1-ECC7-4552-AD9F-0C14AA2DF3CF}" name="N2" dataDxfId="13"/>
    <tableColumn id="6" xr3:uid="{1DA9B7BF-83A4-4F29-AE9D-EA0983CF1D73}" name="N3" dataDxfId="12"/>
    <tableColumn id="7" xr3:uid="{CD0E8A05-9F80-4F5C-B605-832F75C2452C}" name="N4" dataDxfId="11"/>
    <tableColumn id="8" xr3:uid="{EBF63CA7-24A8-41CA-829B-5E677990AE43}" name="N5" dataDxfId="10"/>
    <tableColumn id="9" xr3:uid="{1E402909-0013-43B1-9C29-48C5CC51E759}" name="N6" dataDxfId="9"/>
    <tableColumn id="10" xr3:uid="{932CE91F-59AC-4C63-862E-AC62082AA8E2}" name="N7" dataDxfId="8"/>
    <tableColumn id="11" xr3:uid="{EA478F56-5B37-4F8D-ACFA-304B99EED678}" name="N8" dataDxfId="7"/>
    <tableColumn id="12" xr3:uid="{987056C1-181B-4B66-A32D-BBD3519C5A2E}" name="N9" dataDxfId="6"/>
    <tableColumn id="14" xr3:uid="{E0299E3F-9308-493C-9BFD-1E51F5681465}" name="NF" dataDxfId="5">
      <calculatedColumnFormula>SUM(Tabla1[[#This Row],[N1]:[N9]])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51AAD-F177-4977-9721-3A89AC6570B4}" name="Tabla2" displayName="Tabla2" ref="B2:O37" totalsRowShown="0" headerRowDxfId="4">
  <autoFilter ref="B2:O37" xr:uid="{ECE51AAD-F177-4977-9721-3A89AC6570B4}"/>
  <sortState xmlns:xlrd2="http://schemas.microsoft.com/office/spreadsheetml/2017/richdata2" ref="B3:N37">
    <sortCondition ref="C2:C37"/>
  </sortState>
  <tableColumns count="14">
    <tableColumn id="1" xr3:uid="{559E1552-711A-4677-A0D9-643112007571}" name="N" dataDxfId="3"/>
    <tableColumn id="2" xr3:uid="{08C4BEE0-9E69-407B-A010-FBD114440D6D}" name="Nombre" dataDxfId="2"/>
    <tableColumn id="3" xr3:uid="{0520E617-4542-4183-BD99-245DA1CEAD73}" name="Carnet" dataDxfId="1"/>
    <tableColumn id="4" xr3:uid="{7D2B6BB5-F2E1-4388-9D41-D26A3DCDFC2E}" name="N1"/>
    <tableColumn id="5" xr3:uid="{1D4B4DEF-4204-44E5-918A-E028914E7259}" name="N2"/>
    <tableColumn id="6" xr3:uid="{A4A1CE9B-5EE6-4243-83FA-604B4DBC4EC7}" name="N3"/>
    <tableColumn id="7" xr3:uid="{37AB0F91-E658-4AA5-B0E0-3D999C065A4B}" name="N4"/>
    <tableColumn id="8" xr3:uid="{EAC3F3D1-30D8-4630-8C2D-8CD4DAEE738E}" name="N5"/>
    <tableColumn id="9" xr3:uid="{6D4D16B5-EA0B-4735-8C63-1499D68AF0CC}" name="N6"/>
    <tableColumn id="10" xr3:uid="{E3287B28-2178-4AE8-9D27-5E1D0D031800}" name="N7"/>
    <tableColumn id="11" xr3:uid="{948C7FE2-3907-4205-BD8F-1EF104B5B8F5}" name="N8"/>
    <tableColumn id="12" xr3:uid="{7C7AF9E9-CE41-4704-93EE-620DD29DDB81}" name="N9"/>
    <tableColumn id="13" xr3:uid="{29ED7329-070E-486E-A8CC-71D47DEE16EA}" name="N10"/>
    <tableColumn id="14" xr3:uid="{FA4D45A6-4266-4213-97F5-83F5BFC1D1B3}" name="NF" dataDxfId="0">
      <calculatedColumnFormula>SUM(E3:N3)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254B-A2C9-4944-A883-89AEE0BD2D77}">
  <dimension ref="A2:N55"/>
  <sheetViews>
    <sheetView tabSelected="1" topLeftCell="A32" zoomScaleNormal="100" workbookViewId="0">
      <selection activeCell="L38" sqref="L38"/>
    </sheetView>
  </sheetViews>
  <sheetFormatPr baseColWidth="10" defaultRowHeight="15" x14ac:dyDescent="0.25"/>
  <cols>
    <col min="2" max="2" width="4.5703125" customWidth="1"/>
    <col min="3" max="3" width="35" bestFit="1" customWidth="1"/>
    <col min="4" max="4" width="9.140625" bestFit="1" customWidth="1"/>
    <col min="5" max="14" width="5.7109375" bestFit="1" customWidth="1"/>
  </cols>
  <sheetData>
    <row r="2" spans="1:14" x14ac:dyDescent="0.25">
      <c r="B2" s="4" t="s">
        <v>1</v>
      </c>
      <c r="C2" s="5" t="s">
        <v>29</v>
      </c>
      <c r="D2" s="5" t="s">
        <v>31</v>
      </c>
      <c r="E2" s="5" t="s">
        <v>72</v>
      </c>
      <c r="F2" s="5" t="s">
        <v>73</v>
      </c>
      <c r="G2" s="5" t="s">
        <v>74</v>
      </c>
      <c r="H2" s="5" t="s">
        <v>75</v>
      </c>
      <c r="I2" s="5" t="s">
        <v>76</v>
      </c>
      <c r="J2" s="5" t="s">
        <v>77</v>
      </c>
      <c r="K2" s="5" t="s">
        <v>78</v>
      </c>
      <c r="L2" s="5" t="s">
        <v>79</v>
      </c>
      <c r="M2" s="5" t="s">
        <v>80</v>
      </c>
      <c r="N2" s="6" t="s">
        <v>85</v>
      </c>
    </row>
    <row r="3" spans="1:14" x14ac:dyDescent="0.25">
      <c r="B3" s="7">
        <v>1</v>
      </c>
      <c r="C3" s="8" t="s">
        <v>7</v>
      </c>
      <c r="D3" s="8">
        <v>2340495</v>
      </c>
      <c r="E3" s="9">
        <v>6</v>
      </c>
      <c r="F3" s="9">
        <v>7</v>
      </c>
      <c r="G3" s="9">
        <v>11</v>
      </c>
      <c r="H3" s="9">
        <v>9</v>
      </c>
      <c r="I3" s="9">
        <v>10</v>
      </c>
      <c r="J3" s="9">
        <v>8</v>
      </c>
      <c r="K3" s="9">
        <v>14</v>
      </c>
      <c r="L3" s="9">
        <v>15</v>
      </c>
      <c r="M3" s="9">
        <v>5</v>
      </c>
      <c r="N3" s="10">
        <f>SUM(Tabla1[[#This Row],[N1]:[N9]])</f>
        <v>85</v>
      </c>
    </row>
    <row r="4" spans="1:14" x14ac:dyDescent="0.25">
      <c r="B4" s="7">
        <v>2</v>
      </c>
      <c r="C4" s="8" t="s">
        <v>113</v>
      </c>
      <c r="D4" s="8" t="s">
        <v>112</v>
      </c>
      <c r="E4" s="9">
        <v>10</v>
      </c>
      <c r="F4" s="9">
        <v>11</v>
      </c>
      <c r="G4" s="9">
        <v>12</v>
      </c>
      <c r="H4" s="9">
        <v>10</v>
      </c>
      <c r="I4" s="9">
        <v>8</v>
      </c>
      <c r="J4" s="9">
        <v>10</v>
      </c>
      <c r="K4" s="9">
        <v>15</v>
      </c>
      <c r="L4" s="9">
        <v>15</v>
      </c>
      <c r="M4" s="9">
        <v>7</v>
      </c>
      <c r="N4" s="10">
        <f>SUM(Tabla1[[#This Row],[N1]:[N9]])</f>
        <v>98</v>
      </c>
    </row>
    <row r="5" spans="1:14" x14ac:dyDescent="0.25">
      <c r="B5" s="7">
        <v>3</v>
      </c>
      <c r="C5" s="8" t="s">
        <v>18</v>
      </c>
      <c r="D5" s="8">
        <v>2340311</v>
      </c>
      <c r="E5" s="9">
        <v>3</v>
      </c>
      <c r="F5" s="9">
        <v>9</v>
      </c>
      <c r="G5" s="9">
        <v>8</v>
      </c>
      <c r="H5" s="9">
        <v>10</v>
      </c>
      <c r="I5" s="9">
        <v>8</v>
      </c>
      <c r="J5" s="9">
        <v>8</v>
      </c>
      <c r="K5" s="9">
        <v>15</v>
      </c>
      <c r="L5" s="9">
        <v>15</v>
      </c>
      <c r="M5" s="9">
        <v>7</v>
      </c>
      <c r="N5" s="10">
        <f>SUM(Tabla1[[#This Row],[N1]:[N9]])</f>
        <v>83</v>
      </c>
    </row>
    <row r="6" spans="1:14" x14ac:dyDescent="0.25">
      <c r="B6" s="7">
        <v>4</v>
      </c>
      <c r="C6" s="8" t="s">
        <v>87</v>
      </c>
      <c r="D6" s="8">
        <v>2340168</v>
      </c>
      <c r="E6" s="9">
        <v>7</v>
      </c>
      <c r="F6" s="9">
        <v>5</v>
      </c>
      <c r="G6" s="9">
        <v>7</v>
      </c>
      <c r="H6" s="9">
        <v>10</v>
      </c>
      <c r="I6" s="9">
        <v>8</v>
      </c>
      <c r="J6" s="9">
        <v>10</v>
      </c>
      <c r="K6" s="9">
        <v>12</v>
      </c>
      <c r="L6" s="9">
        <v>15</v>
      </c>
      <c r="M6" s="9">
        <v>7</v>
      </c>
      <c r="N6" s="10">
        <f>SUM(Tabla1[[#This Row],[N1]:[N9]])</f>
        <v>81</v>
      </c>
    </row>
    <row r="7" spans="1:14" x14ac:dyDescent="0.25">
      <c r="B7" s="7">
        <v>5</v>
      </c>
      <c r="C7" s="8" t="s">
        <v>32</v>
      </c>
      <c r="D7" s="8">
        <v>2340254</v>
      </c>
      <c r="E7" s="9">
        <v>11</v>
      </c>
      <c r="F7" s="9">
        <v>7</v>
      </c>
      <c r="G7" s="9">
        <v>9</v>
      </c>
      <c r="H7" s="9">
        <v>10</v>
      </c>
      <c r="I7" s="9">
        <v>8</v>
      </c>
      <c r="J7" s="9">
        <v>9</v>
      </c>
      <c r="K7" s="9">
        <v>15</v>
      </c>
      <c r="L7" s="9">
        <v>15</v>
      </c>
      <c r="M7" s="9">
        <v>6</v>
      </c>
      <c r="N7" s="10">
        <f>SUM(Tabla1[[#This Row],[N1]:[N9]])</f>
        <v>90</v>
      </c>
    </row>
    <row r="8" spans="1:14" x14ac:dyDescent="0.25">
      <c r="A8" s="14"/>
      <c r="B8" s="7">
        <v>6</v>
      </c>
      <c r="C8" s="8" t="s">
        <v>37</v>
      </c>
      <c r="D8" s="8">
        <v>2040001</v>
      </c>
      <c r="E8" s="9">
        <v>11</v>
      </c>
      <c r="F8" s="9">
        <v>9</v>
      </c>
      <c r="G8" s="9">
        <v>8</v>
      </c>
      <c r="H8" s="9">
        <v>9</v>
      </c>
      <c r="I8" s="9">
        <v>9</v>
      </c>
      <c r="J8" s="9">
        <v>10</v>
      </c>
      <c r="K8" s="9">
        <v>10</v>
      </c>
      <c r="L8" s="9">
        <v>10</v>
      </c>
      <c r="M8" s="9">
        <v>7</v>
      </c>
      <c r="N8" s="10">
        <f>SUM(Tabla1[[#This Row],[N1]:[N9]])</f>
        <v>83</v>
      </c>
    </row>
    <row r="9" spans="1:14" x14ac:dyDescent="0.25">
      <c r="B9" s="7">
        <v>7</v>
      </c>
      <c r="C9" s="8" t="s">
        <v>36</v>
      </c>
      <c r="D9" s="8">
        <v>1940187</v>
      </c>
      <c r="E9" s="9">
        <v>9</v>
      </c>
      <c r="F9" s="9">
        <v>8</v>
      </c>
      <c r="G9" s="9">
        <v>11</v>
      </c>
      <c r="H9" s="9"/>
      <c r="I9" s="9">
        <v>9</v>
      </c>
      <c r="J9" s="9">
        <v>9</v>
      </c>
      <c r="K9" s="9">
        <v>15</v>
      </c>
      <c r="L9" s="9">
        <v>15</v>
      </c>
      <c r="M9" s="9">
        <v>5</v>
      </c>
      <c r="N9" s="10">
        <f>SUM(Tabla1[[#This Row],[N1]:[N9]])</f>
        <v>81</v>
      </c>
    </row>
    <row r="10" spans="1:14" x14ac:dyDescent="0.25">
      <c r="B10" s="7">
        <v>8</v>
      </c>
      <c r="C10" s="8" t="s">
        <v>35</v>
      </c>
      <c r="D10" s="8">
        <v>2040043</v>
      </c>
      <c r="E10" s="9">
        <v>8</v>
      </c>
      <c r="F10" s="9">
        <v>8</v>
      </c>
      <c r="G10" s="9">
        <v>10</v>
      </c>
      <c r="H10" s="9">
        <v>10</v>
      </c>
      <c r="I10" s="9">
        <v>8</v>
      </c>
      <c r="J10" s="9">
        <v>7</v>
      </c>
      <c r="K10" s="9">
        <v>15</v>
      </c>
      <c r="L10" s="9">
        <v>15</v>
      </c>
      <c r="M10" s="9">
        <v>2</v>
      </c>
      <c r="N10" s="10">
        <f>SUM(Tabla1[[#This Row],[N1]:[N9]])</f>
        <v>83</v>
      </c>
    </row>
    <row r="11" spans="1:14" x14ac:dyDescent="0.25">
      <c r="B11" s="7">
        <v>9</v>
      </c>
      <c r="C11" s="8" t="s">
        <v>28</v>
      </c>
      <c r="D11" s="8">
        <v>2340161</v>
      </c>
      <c r="E11" s="9">
        <v>8</v>
      </c>
      <c r="F11" s="9">
        <v>10</v>
      </c>
      <c r="G11" s="9">
        <v>7</v>
      </c>
      <c r="H11" s="9"/>
      <c r="I11" s="9">
        <v>8</v>
      </c>
      <c r="J11" s="9">
        <v>8</v>
      </c>
      <c r="K11" s="9">
        <v>15</v>
      </c>
      <c r="L11" s="9">
        <v>15</v>
      </c>
      <c r="M11" s="9">
        <v>6</v>
      </c>
      <c r="N11" s="10">
        <f>SUM(Tabla1[[#This Row],[N1]:[N9]])</f>
        <v>77</v>
      </c>
    </row>
    <row r="12" spans="1:14" x14ac:dyDescent="0.25">
      <c r="B12" s="7">
        <v>10</v>
      </c>
      <c r="C12" s="8" t="s">
        <v>9</v>
      </c>
      <c r="D12" s="8"/>
      <c r="E12" s="9"/>
      <c r="F12" s="9"/>
      <c r="G12" s="9"/>
      <c r="H12" s="9"/>
      <c r="I12" s="9"/>
      <c r="J12" s="9"/>
      <c r="K12" s="9"/>
      <c r="L12" s="9"/>
      <c r="M12" s="9"/>
      <c r="N12" s="10">
        <f>SUM(Tabla1[[#This Row],[N1]:[N9]])</f>
        <v>0</v>
      </c>
    </row>
    <row r="13" spans="1:14" x14ac:dyDescent="0.25">
      <c r="B13" s="7">
        <v>11</v>
      </c>
      <c r="C13" s="8" t="s">
        <v>88</v>
      </c>
      <c r="D13" s="8">
        <v>2140179</v>
      </c>
      <c r="E13" s="9">
        <v>10</v>
      </c>
      <c r="F13" s="9">
        <v>8</v>
      </c>
      <c r="G13" s="9">
        <v>12</v>
      </c>
      <c r="H13" s="9">
        <v>10</v>
      </c>
      <c r="I13" s="9">
        <v>10</v>
      </c>
      <c r="J13" s="9">
        <v>10</v>
      </c>
      <c r="K13" s="9">
        <v>15</v>
      </c>
      <c r="L13" s="9">
        <v>15</v>
      </c>
      <c r="M13" s="9">
        <v>6</v>
      </c>
      <c r="N13" s="10">
        <f>SUM(Tabla1[[#This Row],[N1]:[N9]])</f>
        <v>96</v>
      </c>
    </row>
    <row r="14" spans="1:14" x14ac:dyDescent="0.25">
      <c r="B14" s="7">
        <v>12</v>
      </c>
      <c r="C14" s="8" t="s">
        <v>22</v>
      </c>
      <c r="D14" s="8">
        <v>2340355</v>
      </c>
      <c r="E14" s="9">
        <v>11</v>
      </c>
      <c r="F14" s="9">
        <v>10</v>
      </c>
      <c r="G14" s="9">
        <v>7</v>
      </c>
      <c r="H14" s="9">
        <v>8</v>
      </c>
      <c r="I14" s="9">
        <v>8</v>
      </c>
      <c r="J14" s="9">
        <v>8</v>
      </c>
      <c r="K14" s="9">
        <v>15</v>
      </c>
      <c r="L14" s="9">
        <v>15</v>
      </c>
      <c r="M14" s="9">
        <v>6</v>
      </c>
      <c r="N14" s="10">
        <f>SUM(Tabla1[[#This Row],[N1]:[N9]])</f>
        <v>88</v>
      </c>
    </row>
    <row r="15" spans="1:14" x14ac:dyDescent="0.25">
      <c r="A15" s="14"/>
      <c r="B15" s="7">
        <v>13</v>
      </c>
      <c r="C15" s="8" t="s">
        <v>5</v>
      </c>
      <c r="D15" s="8">
        <v>2140249</v>
      </c>
      <c r="E15" s="9">
        <v>9</v>
      </c>
      <c r="F15" s="9">
        <v>10</v>
      </c>
      <c r="G15" s="9">
        <v>10</v>
      </c>
      <c r="H15" s="9">
        <v>7</v>
      </c>
      <c r="I15" s="9">
        <v>7</v>
      </c>
      <c r="J15" s="9">
        <v>9</v>
      </c>
      <c r="K15" s="9">
        <v>14</v>
      </c>
      <c r="L15" s="9">
        <v>15</v>
      </c>
      <c r="M15" s="9">
        <v>3</v>
      </c>
      <c r="N15" s="10">
        <f>SUM(Tabla1[[#This Row],[N1]:[N9]])</f>
        <v>84</v>
      </c>
    </row>
    <row r="16" spans="1:14" x14ac:dyDescent="0.25">
      <c r="A16" s="14"/>
      <c r="B16" s="7">
        <v>14</v>
      </c>
      <c r="C16" s="8" t="s">
        <v>12</v>
      </c>
      <c r="D16" s="8">
        <v>2340390</v>
      </c>
      <c r="E16" s="9">
        <v>6</v>
      </c>
      <c r="F16" s="9">
        <v>10</v>
      </c>
      <c r="G16" s="9"/>
      <c r="H16" s="9"/>
      <c r="I16" s="9">
        <v>10</v>
      </c>
      <c r="J16" s="9">
        <v>10</v>
      </c>
      <c r="K16" s="9">
        <v>15</v>
      </c>
      <c r="L16" s="9">
        <v>13</v>
      </c>
      <c r="M16" s="9">
        <v>5</v>
      </c>
      <c r="N16" s="10">
        <f>SUM(Tabla1[[#This Row],[N1]:[N9]])</f>
        <v>69</v>
      </c>
    </row>
    <row r="17" spans="1:14" x14ac:dyDescent="0.25">
      <c r="B17" s="7">
        <v>15</v>
      </c>
      <c r="C17" s="8" t="s">
        <v>6</v>
      </c>
      <c r="D17" s="8">
        <v>2140147</v>
      </c>
      <c r="E17" s="9">
        <v>9</v>
      </c>
      <c r="F17" s="9">
        <v>10</v>
      </c>
      <c r="G17" s="9">
        <v>12</v>
      </c>
      <c r="H17" s="9">
        <v>7</v>
      </c>
      <c r="I17" s="9"/>
      <c r="J17" s="9">
        <v>7</v>
      </c>
      <c r="K17" s="9">
        <v>15</v>
      </c>
      <c r="L17" s="9">
        <v>15</v>
      </c>
      <c r="M17" s="9">
        <v>4</v>
      </c>
      <c r="N17" s="10">
        <f>SUM(Tabla1[[#This Row],[N1]:[N9]])</f>
        <v>79</v>
      </c>
    </row>
    <row r="18" spans="1:14" x14ac:dyDescent="0.25">
      <c r="B18" s="7">
        <v>16</v>
      </c>
      <c r="C18" s="8" t="s">
        <v>86</v>
      </c>
      <c r="D18" s="8"/>
      <c r="E18" s="9"/>
      <c r="F18" s="9"/>
      <c r="G18" s="9"/>
      <c r="H18" s="9"/>
      <c r="I18" s="9"/>
      <c r="J18" s="9"/>
      <c r="K18" s="9"/>
      <c r="L18" s="9"/>
      <c r="M18" s="9"/>
      <c r="N18" s="10">
        <f>SUM(Tabla1[[#This Row],[N1]:[N9]])</f>
        <v>0</v>
      </c>
    </row>
    <row r="19" spans="1:14" x14ac:dyDescent="0.25">
      <c r="B19" s="7">
        <v>17</v>
      </c>
      <c r="C19" s="8" t="s">
        <v>89</v>
      </c>
      <c r="D19" s="8">
        <v>2140210</v>
      </c>
      <c r="E19" s="9">
        <v>7</v>
      </c>
      <c r="F19" s="9">
        <v>10</v>
      </c>
      <c r="G19" s="9">
        <v>12</v>
      </c>
      <c r="H19" s="9">
        <v>9</v>
      </c>
      <c r="I19" s="9">
        <v>9</v>
      </c>
      <c r="J19" s="9">
        <v>7</v>
      </c>
      <c r="K19" s="9">
        <v>15</v>
      </c>
      <c r="L19" s="9">
        <v>13</v>
      </c>
      <c r="M19" s="9">
        <v>7</v>
      </c>
      <c r="N19" s="10">
        <f>SUM(Tabla1[[#This Row],[N1]:[N9]])</f>
        <v>89</v>
      </c>
    </row>
    <row r="20" spans="1:14" x14ac:dyDescent="0.25">
      <c r="B20" s="7">
        <v>18</v>
      </c>
      <c r="C20" s="8" t="s">
        <v>100</v>
      </c>
      <c r="D20" s="8" t="s">
        <v>101</v>
      </c>
      <c r="E20" s="9">
        <v>11</v>
      </c>
      <c r="F20" s="9">
        <v>8</v>
      </c>
      <c r="G20" s="9">
        <v>12</v>
      </c>
      <c r="H20" s="9">
        <v>8</v>
      </c>
      <c r="I20" s="9">
        <v>8</v>
      </c>
      <c r="J20" s="9">
        <v>10</v>
      </c>
      <c r="K20" s="9">
        <v>15</v>
      </c>
      <c r="L20" s="9">
        <v>13</v>
      </c>
      <c r="M20" s="9">
        <v>4</v>
      </c>
      <c r="N20" s="10">
        <f>SUM(Tabla1[[#This Row],[N1]:[N9]])</f>
        <v>89</v>
      </c>
    </row>
    <row r="21" spans="1:14" x14ac:dyDescent="0.25">
      <c r="B21" s="7">
        <v>19</v>
      </c>
      <c r="C21" s="8" t="s">
        <v>90</v>
      </c>
      <c r="D21" s="8">
        <v>1940174</v>
      </c>
      <c r="E21" s="9">
        <v>9</v>
      </c>
      <c r="F21" s="9">
        <v>9</v>
      </c>
      <c r="G21" s="9">
        <v>9</v>
      </c>
      <c r="H21" s="9">
        <v>9</v>
      </c>
      <c r="I21" s="9">
        <v>10</v>
      </c>
      <c r="J21" s="9">
        <v>9</v>
      </c>
      <c r="K21" s="9">
        <v>13</v>
      </c>
      <c r="L21" s="9">
        <v>15</v>
      </c>
      <c r="M21" s="9">
        <v>4</v>
      </c>
      <c r="N21" s="10">
        <f>SUM(Tabla1[[#This Row],[N1]:[N9]])</f>
        <v>87</v>
      </c>
    </row>
    <row r="22" spans="1:14" x14ac:dyDescent="0.25">
      <c r="B22" s="7">
        <v>20</v>
      </c>
      <c r="C22" s="8" t="s">
        <v>104</v>
      </c>
      <c r="D22" s="8" t="s">
        <v>105</v>
      </c>
      <c r="E22" s="9">
        <v>9</v>
      </c>
      <c r="F22" s="9">
        <v>9</v>
      </c>
      <c r="G22" s="9">
        <v>11</v>
      </c>
      <c r="H22" s="9"/>
      <c r="I22" s="9"/>
      <c r="J22" s="9"/>
      <c r="K22" s="9">
        <v>15</v>
      </c>
      <c r="L22" s="9">
        <v>15</v>
      </c>
      <c r="M22" s="9">
        <v>2</v>
      </c>
      <c r="N22" s="10">
        <f>SUM(Tabla1[[#This Row],[N1]:[N9]])</f>
        <v>61</v>
      </c>
    </row>
    <row r="23" spans="1:14" x14ac:dyDescent="0.25">
      <c r="B23" s="7">
        <v>21</v>
      </c>
      <c r="C23" s="8" t="s">
        <v>3</v>
      </c>
      <c r="D23" s="8">
        <v>2140014</v>
      </c>
      <c r="E23" s="9">
        <v>5</v>
      </c>
      <c r="F23" s="9">
        <v>9</v>
      </c>
      <c r="G23" s="9">
        <v>11</v>
      </c>
      <c r="H23" s="9">
        <v>10</v>
      </c>
      <c r="I23" s="9">
        <v>10</v>
      </c>
      <c r="J23" s="9">
        <v>10</v>
      </c>
      <c r="K23" s="9">
        <v>15</v>
      </c>
      <c r="L23" s="9">
        <v>15</v>
      </c>
      <c r="M23" s="9">
        <v>7</v>
      </c>
      <c r="N23" s="10">
        <f>SUM(Tabla1[[#This Row],[N1]:[N9]])</f>
        <v>92</v>
      </c>
    </row>
    <row r="24" spans="1:14" x14ac:dyDescent="0.25">
      <c r="B24" s="7">
        <v>22</v>
      </c>
      <c r="C24" s="8" t="s">
        <v>26</v>
      </c>
      <c r="D24" s="8" t="s">
        <v>108</v>
      </c>
      <c r="E24" s="9">
        <v>11</v>
      </c>
      <c r="F24" s="9">
        <v>6</v>
      </c>
      <c r="G24" s="9">
        <v>10</v>
      </c>
      <c r="H24" s="9"/>
      <c r="I24" s="9"/>
      <c r="J24" s="9">
        <v>10</v>
      </c>
      <c r="K24" s="9">
        <v>10</v>
      </c>
      <c r="L24" s="9">
        <v>10</v>
      </c>
      <c r="M24" s="9">
        <v>4</v>
      </c>
      <c r="N24" s="10">
        <f>SUM(Tabla1[[#This Row],[N1]:[N9]])</f>
        <v>61</v>
      </c>
    </row>
    <row r="25" spans="1:14" x14ac:dyDescent="0.25">
      <c r="A25" s="14"/>
      <c r="B25" s="7">
        <v>23</v>
      </c>
      <c r="C25" s="8" t="s">
        <v>21</v>
      </c>
      <c r="D25" s="8">
        <v>2340028</v>
      </c>
      <c r="E25" s="9">
        <v>11</v>
      </c>
      <c r="F25" s="9">
        <v>9</v>
      </c>
      <c r="G25" s="9">
        <v>7</v>
      </c>
      <c r="H25" s="9">
        <v>8</v>
      </c>
      <c r="I25" s="9">
        <v>8</v>
      </c>
      <c r="J25" s="9">
        <v>8</v>
      </c>
      <c r="K25" s="9">
        <v>15</v>
      </c>
      <c r="L25" s="9">
        <v>15</v>
      </c>
      <c r="M25" s="9">
        <v>5</v>
      </c>
      <c r="N25" s="10">
        <f>SUM(Tabla1[[#This Row],[N1]:[N9]])</f>
        <v>86</v>
      </c>
    </row>
    <row r="26" spans="1:14" x14ac:dyDescent="0.25">
      <c r="B26" s="7">
        <v>24</v>
      </c>
      <c r="C26" s="8" t="s">
        <v>16</v>
      </c>
      <c r="D26" s="8">
        <v>1840251</v>
      </c>
      <c r="E26" s="9">
        <v>11</v>
      </c>
      <c r="F26" s="9">
        <v>10</v>
      </c>
      <c r="G26" s="9">
        <v>12</v>
      </c>
      <c r="H26" s="9">
        <v>10</v>
      </c>
      <c r="I26" s="9">
        <v>9</v>
      </c>
      <c r="J26" s="9">
        <v>10</v>
      </c>
      <c r="K26" s="9">
        <v>15</v>
      </c>
      <c r="L26" s="9">
        <v>15</v>
      </c>
      <c r="M26" s="9">
        <v>5</v>
      </c>
      <c r="N26" s="10">
        <f>SUM(Tabla1[[#This Row],[N1]:[N9]])</f>
        <v>97</v>
      </c>
    </row>
    <row r="27" spans="1:14" x14ac:dyDescent="0.25">
      <c r="B27" s="7">
        <v>25</v>
      </c>
      <c r="C27" s="8" t="s">
        <v>98</v>
      </c>
      <c r="D27" s="8">
        <v>1940179</v>
      </c>
      <c r="E27" s="9">
        <v>9</v>
      </c>
      <c r="F27" s="9">
        <v>10</v>
      </c>
      <c r="G27" s="9">
        <v>8</v>
      </c>
      <c r="H27" s="9">
        <v>8</v>
      </c>
      <c r="I27" s="9">
        <v>7</v>
      </c>
      <c r="J27" s="9">
        <v>10</v>
      </c>
      <c r="K27" s="9">
        <v>15</v>
      </c>
      <c r="L27" s="9">
        <v>15</v>
      </c>
      <c r="M27" s="9">
        <v>6</v>
      </c>
      <c r="N27" s="10">
        <f>SUM(Tabla1[[#This Row],[N1]:[N9]])</f>
        <v>88</v>
      </c>
    </row>
    <row r="28" spans="1:14" x14ac:dyDescent="0.25">
      <c r="B28" s="7">
        <v>26</v>
      </c>
      <c r="C28" s="8" t="s">
        <v>25</v>
      </c>
      <c r="D28" s="8">
        <v>2040190</v>
      </c>
      <c r="E28" s="9">
        <v>8</v>
      </c>
      <c r="F28" s="9">
        <v>9</v>
      </c>
      <c r="G28" s="9">
        <v>11</v>
      </c>
      <c r="H28" s="9">
        <v>10</v>
      </c>
      <c r="I28" s="9">
        <v>9</v>
      </c>
      <c r="J28" s="9">
        <v>10</v>
      </c>
      <c r="K28" s="9">
        <v>10</v>
      </c>
      <c r="L28" s="9">
        <v>10</v>
      </c>
      <c r="M28" s="9">
        <v>7</v>
      </c>
      <c r="N28" s="10">
        <f>SUM(Tabla1[[#This Row],[N1]:[N9]])</f>
        <v>84</v>
      </c>
    </row>
    <row r="29" spans="1:14" x14ac:dyDescent="0.25">
      <c r="B29" s="7">
        <v>27</v>
      </c>
      <c r="C29" s="8" t="s">
        <v>0</v>
      </c>
      <c r="D29" s="8">
        <v>2140082</v>
      </c>
      <c r="E29" s="9">
        <v>6</v>
      </c>
      <c r="F29" s="9">
        <v>5</v>
      </c>
      <c r="G29" s="9">
        <v>10</v>
      </c>
      <c r="H29" s="9">
        <v>8</v>
      </c>
      <c r="I29" s="9">
        <v>7</v>
      </c>
      <c r="J29" s="9">
        <v>8</v>
      </c>
      <c r="K29" s="9">
        <v>9</v>
      </c>
      <c r="L29" s="9">
        <v>14</v>
      </c>
      <c r="M29" s="9">
        <v>4</v>
      </c>
      <c r="N29" s="10">
        <f>SUM(Tabla1[[#This Row],[N1]:[N9]])</f>
        <v>71</v>
      </c>
    </row>
    <row r="30" spans="1:14" x14ac:dyDescent="0.25">
      <c r="B30" s="7">
        <v>28</v>
      </c>
      <c r="C30" s="8" t="s">
        <v>91</v>
      </c>
      <c r="D30" s="8">
        <v>2340452</v>
      </c>
      <c r="E30" s="9">
        <v>9</v>
      </c>
      <c r="F30" s="9">
        <v>10</v>
      </c>
      <c r="G30" s="9">
        <v>12</v>
      </c>
      <c r="H30" s="9"/>
      <c r="I30" s="9">
        <v>10</v>
      </c>
      <c r="J30" s="9"/>
      <c r="K30" s="9">
        <v>15</v>
      </c>
      <c r="L30" s="9">
        <v>15</v>
      </c>
      <c r="M30" s="9">
        <v>5</v>
      </c>
      <c r="N30" s="10">
        <f>SUM(Tabla1[[#This Row],[N1]:[N9]])</f>
        <v>76</v>
      </c>
    </row>
    <row r="31" spans="1:14" x14ac:dyDescent="0.25">
      <c r="B31" s="7">
        <v>29</v>
      </c>
      <c r="C31" s="8" t="s">
        <v>15</v>
      </c>
      <c r="D31" s="8">
        <v>2340059</v>
      </c>
      <c r="E31" s="9">
        <v>8</v>
      </c>
      <c r="F31" s="9">
        <v>9</v>
      </c>
      <c r="G31" s="9">
        <v>10</v>
      </c>
      <c r="H31" s="9">
        <v>10</v>
      </c>
      <c r="I31" s="9">
        <v>10</v>
      </c>
      <c r="J31" s="9">
        <v>10</v>
      </c>
      <c r="K31" s="9">
        <v>14</v>
      </c>
      <c r="L31" s="9">
        <v>15</v>
      </c>
      <c r="M31" s="9">
        <v>7</v>
      </c>
      <c r="N31" s="10">
        <f>SUM(Tabla1[[#This Row],[N1]:[N9]])</f>
        <v>93</v>
      </c>
    </row>
    <row r="32" spans="1:14" x14ac:dyDescent="0.25">
      <c r="B32" s="7">
        <v>30</v>
      </c>
      <c r="C32" s="8" t="s">
        <v>11</v>
      </c>
      <c r="D32" s="8" t="s">
        <v>102</v>
      </c>
      <c r="E32" s="9">
        <v>10</v>
      </c>
      <c r="F32" s="9">
        <v>8</v>
      </c>
      <c r="G32" s="9">
        <v>10</v>
      </c>
      <c r="H32" s="9">
        <v>7</v>
      </c>
      <c r="I32" s="9"/>
      <c r="J32" s="9">
        <v>10</v>
      </c>
      <c r="K32" s="9">
        <v>15</v>
      </c>
      <c r="L32" s="9">
        <v>13</v>
      </c>
      <c r="M32" s="9">
        <v>4</v>
      </c>
      <c r="N32" s="10">
        <f>SUM(Tabla1[[#This Row],[N1]:[N9]])</f>
        <v>77</v>
      </c>
    </row>
    <row r="33" spans="2:14" x14ac:dyDescent="0.25">
      <c r="B33" s="7">
        <v>31</v>
      </c>
      <c r="C33" s="8" t="s">
        <v>92</v>
      </c>
      <c r="D33" s="8">
        <v>2340332</v>
      </c>
      <c r="E33" s="9">
        <v>10</v>
      </c>
      <c r="F33" s="9">
        <v>7</v>
      </c>
      <c r="G33" s="9">
        <v>10</v>
      </c>
      <c r="H33" s="9">
        <v>8</v>
      </c>
      <c r="I33" s="9">
        <v>8</v>
      </c>
      <c r="J33" s="9"/>
      <c r="K33" s="9">
        <v>15</v>
      </c>
      <c r="L33" s="9">
        <v>15</v>
      </c>
      <c r="M33" s="9">
        <v>5</v>
      </c>
      <c r="N33" s="10">
        <f>SUM(Tabla1[[#This Row],[N1]:[N9]])</f>
        <v>78</v>
      </c>
    </row>
    <row r="34" spans="2:14" x14ac:dyDescent="0.25">
      <c r="B34" s="7">
        <v>32</v>
      </c>
      <c r="C34" s="8" t="s">
        <v>14</v>
      </c>
      <c r="D34" s="8">
        <v>2340442</v>
      </c>
      <c r="E34" s="9">
        <v>10</v>
      </c>
      <c r="F34" s="9">
        <v>10</v>
      </c>
      <c r="G34" s="9">
        <v>11</v>
      </c>
      <c r="H34" s="9">
        <v>7</v>
      </c>
      <c r="I34" s="9">
        <v>8</v>
      </c>
      <c r="J34" s="9">
        <v>10</v>
      </c>
      <c r="K34" s="9">
        <v>15</v>
      </c>
      <c r="L34" s="9">
        <v>15</v>
      </c>
      <c r="M34" s="9">
        <v>5</v>
      </c>
      <c r="N34" s="10">
        <f>SUM(Tabla1[[#This Row],[N1]:[N9]])</f>
        <v>91</v>
      </c>
    </row>
    <row r="35" spans="2:14" x14ac:dyDescent="0.25">
      <c r="B35" s="7">
        <v>33</v>
      </c>
      <c r="C35" s="8" t="s">
        <v>17</v>
      </c>
      <c r="D35" s="8">
        <v>2340114</v>
      </c>
      <c r="E35" s="9">
        <v>10</v>
      </c>
      <c r="F35" s="9">
        <v>10</v>
      </c>
      <c r="G35" s="9">
        <v>11</v>
      </c>
      <c r="H35" s="9">
        <v>8</v>
      </c>
      <c r="I35" s="9">
        <v>8</v>
      </c>
      <c r="J35" s="9">
        <v>10</v>
      </c>
      <c r="K35" s="9">
        <v>15</v>
      </c>
      <c r="L35" s="9">
        <v>13</v>
      </c>
      <c r="M35" s="9">
        <v>6</v>
      </c>
      <c r="N35" s="10">
        <f>SUM(Tabla1[[#This Row],[N1]:[N9]])</f>
        <v>91</v>
      </c>
    </row>
    <row r="36" spans="2:14" x14ac:dyDescent="0.25">
      <c r="B36" s="7">
        <v>34</v>
      </c>
      <c r="C36" s="8" t="s">
        <v>93</v>
      </c>
      <c r="D36" s="8">
        <v>2040174</v>
      </c>
      <c r="E36" s="9">
        <v>11</v>
      </c>
      <c r="F36" s="9">
        <v>6</v>
      </c>
      <c r="G36" s="9">
        <v>11</v>
      </c>
      <c r="H36" s="9">
        <v>8</v>
      </c>
      <c r="I36" s="9">
        <v>8</v>
      </c>
      <c r="J36" s="9">
        <v>10</v>
      </c>
      <c r="K36" s="9">
        <v>15</v>
      </c>
      <c r="L36" s="9">
        <v>13</v>
      </c>
      <c r="M36" s="9">
        <v>4</v>
      </c>
      <c r="N36" s="10">
        <f>SUM(Tabla1[[#This Row],[N1]:[N9]])</f>
        <v>86</v>
      </c>
    </row>
    <row r="37" spans="2:14" x14ac:dyDescent="0.25">
      <c r="B37" s="7">
        <v>35</v>
      </c>
      <c r="C37" s="8" t="s">
        <v>109</v>
      </c>
      <c r="D37" s="8" t="s">
        <v>111</v>
      </c>
      <c r="E37" s="9">
        <v>10</v>
      </c>
      <c r="F37" s="9">
        <v>10</v>
      </c>
      <c r="G37" s="9">
        <v>10</v>
      </c>
      <c r="H37" s="9">
        <v>8</v>
      </c>
      <c r="I37" s="9">
        <v>8</v>
      </c>
      <c r="J37" s="9">
        <v>8</v>
      </c>
      <c r="K37" s="9">
        <v>15</v>
      </c>
      <c r="L37" s="9">
        <v>15</v>
      </c>
      <c r="M37" s="9">
        <v>2</v>
      </c>
      <c r="N37" s="10">
        <f>SUM(Tabla1[[#This Row],[N1]:[N9]])</f>
        <v>86</v>
      </c>
    </row>
    <row r="38" spans="2:14" x14ac:dyDescent="0.25">
      <c r="B38" s="7">
        <v>36</v>
      </c>
      <c r="C38" s="8" t="s">
        <v>4</v>
      </c>
      <c r="D38" s="8" t="s">
        <v>99</v>
      </c>
      <c r="E38" s="9">
        <v>11</v>
      </c>
      <c r="F38" s="9">
        <v>10</v>
      </c>
      <c r="G38" s="9">
        <v>9</v>
      </c>
      <c r="H38" s="9">
        <v>2</v>
      </c>
      <c r="I38" s="9">
        <v>8</v>
      </c>
      <c r="J38" s="9">
        <v>8</v>
      </c>
      <c r="K38" s="9">
        <v>15</v>
      </c>
      <c r="L38" s="9"/>
      <c r="M38" s="9">
        <v>3</v>
      </c>
      <c r="N38" s="10">
        <f>SUM(Tabla1[[#This Row],[N1]:[N9]])</f>
        <v>66</v>
      </c>
    </row>
    <row r="39" spans="2:14" x14ac:dyDescent="0.25">
      <c r="B39" s="7">
        <v>37</v>
      </c>
      <c r="C39" s="8" t="s">
        <v>34</v>
      </c>
      <c r="D39" s="8">
        <v>2140112</v>
      </c>
      <c r="E39" s="9">
        <v>7</v>
      </c>
      <c r="F39" s="9">
        <v>8</v>
      </c>
      <c r="G39" s="9">
        <v>10</v>
      </c>
      <c r="H39" s="9">
        <v>9</v>
      </c>
      <c r="I39" s="9">
        <v>7</v>
      </c>
      <c r="J39" s="9">
        <v>9</v>
      </c>
      <c r="K39" s="9">
        <v>15</v>
      </c>
      <c r="L39" s="9">
        <v>13</v>
      </c>
      <c r="M39" s="9">
        <v>7</v>
      </c>
      <c r="N39" s="10">
        <f>SUM(Tabla1[[#This Row],[N1]:[N9]])</f>
        <v>85</v>
      </c>
    </row>
    <row r="40" spans="2:14" x14ac:dyDescent="0.25">
      <c r="B40" s="7">
        <v>38</v>
      </c>
      <c r="C40" s="8" t="s">
        <v>106</v>
      </c>
      <c r="D40" s="8" t="s">
        <v>107</v>
      </c>
      <c r="E40" s="9">
        <v>10</v>
      </c>
      <c r="F40" s="9">
        <v>10</v>
      </c>
      <c r="G40" s="9">
        <v>10</v>
      </c>
      <c r="H40" s="9"/>
      <c r="I40" s="9">
        <v>9</v>
      </c>
      <c r="J40" s="9">
        <v>10</v>
      </c>
      <c r="K40" s="9"/>
      <c r="L40" s="9">
        <v>13</v>
      </c>
      <c r="M40" s="9">
        <v>4</v>
      </c>
      <c r="N40" s="10">
        <f>SUM(Tabla1[[#This Row],[N1]:[N9]])</f>
        <v>66</v>
      </c>
    </row>
    <row r="41" spans="2:14" x14ac:dyDescent="0.25">
      <c r="B41" s="7">
        <v>39</v>
      </c>
      <c r="C41" s="8" t="s">
        <v>23</v>
      </c>
      <c r="D41" s="8">
        <v>1940019</v>
      </c>
      <c r="E41" s="9">
        <v>6</v>
      </c>
      <c r="F41" s="9">
        <v>9</v>
      </c>
      <c r="G41" s="9">
        <v>11</v>
      </c>
      <c r="H41" s="9">
        <v>8</v>
      </c>
      <c r="I41" s="9">
        <v>7</v>
      </c>
      <c r="J41" s="9">
        <v>7</v>
      </c>
      <c r="K41" s="9">
        <v>14</v>
      </c>
      <c r="L41" s="9">
        <v>15</v>
      </c>
      <c r="M41" s="9">
        <v>5</v>
      </c>
      <c r="N41" s="10">
        <f>SUM(Tabla1[[#This Row],[N1]:[N9]])</f>
        <v>82</v>
      </c>
    </row>
    <row r="42" spans="2:14" x14ac:dyDescent="0.25">
      <c r="B42" s="7">
        <v>40</v>
      </c>
      <c r="C42" s="8" t="s">
        <v>94</v>
      </c>
      <c r="D42" s="8">
        <v>1940104</v>
      </c>
      <c r="E42" s="9">
        <v>8</v>
      </c>
      <c r="F42" s="9">
        <v>10</v>
      </c>
      <c r="G42" s="9">
        <v>12</v>
      </c>
      <c r="H42" s="9">
        <v>8</v>
      </c>
      <c r="I42" s="9">
        <v>7</v>
      </c>
      <c r="J42" s="9">
        <v>7</v>
      </c>
      <c r="K42" s="9">
        <v>15</v>
      </c>
      <c r="L42" s="9">
        <v>15</v>
      </c>
      <c r="M42" s="9">
        <v>5</v>
      </c>
      <c r="N42" s="10">
        <f>SUM(Tabla1[[#This Row],[N1]:[N9]])</f>
        <v>87</v>
      </c>
    </row>
    <row r="43" spans="2:14" x14ac:dyDescent="0.25">
      <c r="B43" s="7">
        <v>41</v>
      </c>
      <c r="C43" s="8" t="s">
        <v>33</v>
      </c>
      <c r="D43" s="8">
        <v>2140075</v>
      </c>
      <c r="E43" s="9">
        <v>11</v>
      </c>
      <c r="F43" s="9">
        <v>9</v>
      </c>
      <c r="G43" s="9">
        <v>12</v>
      </c>
      <c r="H43" s="9">
        <v>10</v>
      </c>
      <c r="I43" s="9">
        <v>10</v>
      </c>
      <c r="J43" s="9">
        <v>10</v>
      </c>
      <c r="K43" s="9">
        <v>15</v>
      </c>
      <c r="L43" s="9">
        <v>15</v>
      </c>
      <c r="M43" s="9">
        <v>5</v>
      </c>
      <c r="N43" s="10">
        <f>SUM(Tabla1[[#This Row],[N1]:[N9]])</f>
        <v>97</v>
      </c>
    </row>
    <row r="44" spans="2:14" x14ac:dyDescent="0.25">
      <c r="B44" s="7">
        <v>42</v>
      </c>
      <c r="C44" s="8" t="s">
        <v>10</v>
      </c>
      <c r="D44" s="8" t="s">
        <v>103</v>
      </c>
      <c r="E44" s="9">
        <v>9</v>
      </c>
      <c r="F44" s="9">
        <v>8</v>
      </c>
      <c r="G44" s="9">
        <v>12</v>
      </c>
      <c r="H44" s="9">
        <v>10</v>
      </c>
      <c r="I44" s="9">
        <v>10</v>
      </c>
      <c r="J44" s="9">
        <v>10</v>
      </c>
      <c r="K44" s="9">
        <v>15</v>
      </c>
      <c r="L44" s="9">
        <v>15</v>
      </c>
      <c r="M44" s="9">
        <v>3</v>
      </c>
      <c r="N44" s="10">
        <f>SUM(Tabla1[[#This Row],[N1]:[N9]])</f>
        <v>92</v>
      </c>
    </row>
    <row r="45" spans="2:14" x14ac:dyDescent="0.25">
      <c r="B45" s="7">
        <v>43</v>
      </c>
      <c r="C45" s="8" t="s">
        <v>2</v>
      </c>
      <c r="D45" s="8">
        <v>2140196</v>
      </c>
      <c r="E45" s="9">
        <v>11</v>
      </c>
      <c r="F45" s="9">
        <v>10</v>
      </c>
      <c r="G45" s="9">
        <v>12</v>
      </c>
      <c r="H45" s="9">
        <v>10</v>
      </c>
      <c r="I45" s="9">
        <v>10</v>
      </c>
      <c r="J45" s="9">
        <v>10</v>
      </c>
      <c r="K45" s="9">
        <v>15</v>
      </c>
      <c r="L45" s="9">
        <v>15</v>
      </c>
      <c r="M45" s="9">
        <v>7</v>
      </c>
      <c r="N45" s="10">
        <f>SUM(Tabla1[[#This Row],[N1]:[N9]])</f>
        <v>100</v>
      </c>
    </row>
    <row r="46" spans="2:14" x14ac:dyDescent="0.25">
      <c r="B46" s="7">
        <v>44</v>
      </c>
      <c r="C46" s="8" t="s">
        <v>24</v>
      </c>
      <c r="D46" s="8">
        <v>1940025</v>
      </c>
      <c r="E46" s="9">
        <v>8</v>
      </c>
      <c r="F46" s="9">
        <v>6</v>
      </c>
      <c r="G46" s="9">
        <v>10</v>
      </c>
      <c r="H46" s="9">
        <v>10</v>
      </c>
      <c r="I46" s="9">
        <v>8</v>
      </c>
      <c r="J46" s="9">
        <v>7</v>
      </c>
      <c r="K46" s="9">
        <v>14</v>
      </c>
      <c r="L46" s="9">
        <v>15</v>
      </c>
      <c r="M46" s="9">
        <v>6</v>
      </c>
      <c r="N46" s="10">
        <f>SUM(Tabla1[[#This Row],[N1]:[N9]])</f>
        <v>84</v>
      </c>
    </row>
    <row r="47" spans="2:14" x14ac:dyDescent="0.25">
      <c r="B47" s="7">
        <v>45</v>
      </c>
      <c r="C47" s="8" t="s">
        <v>19</v>
      </c>
      <c r="D47" s="8">
        <v>2340074</v>
      </c>
      <c r="E47" s="9">
        <v>10</v>
      </c>
      <c r="F47" s="9">
        <v>9</v>
      </c>
      <c r="G47" s="9">
        <v>12</v>
      </c>
      <c r="H47" s="9"/>
      <c r="I47" s="9">
        <v>8</v>
      </c>
      <c r="J47" s="9"/>
      <c r="K47" s="9">
        <v>15</v>
      </c>
      <c r="L47" s="9">
        <v>13</v>
      </c>
      <c r="M47" s="9">
        <v>5</v>
      </c>
      <c r="N47" s="10">
        <f>SUM(Tabla1[[#This Row],[N1]:[N9]])</f>
        <v>72</v>
      </c>
    </row>
    <row r="48" spans="2:14" x14ac:dyDescent="0.25">
      <c r="B48" s="7">
        <v>46</v>
      </c>
      <c r="C48" s="8" t="s">
        <v>27</v>
      </c>
      <c r="D48" s="8" t="s">
        <v>110</v>
      </c>
      <c r="E48" s="9">
        <v>9</v>
      </c>
      <c r="F48" s="9">
        <v>4</v>
      </c>
      <c r="G48" s="9">
        <v>7</v>
      </c>
      <c r="H48" s="9">
        <v>8</v>
      </c>
      <c r="I48" s="9">
        <v>10</v>
      </c>
      <c r="J48" s="9">
        <v>8</v>
      </c>
      <c r="K48" s="9">
        <v>14</v>
      </c>
      <c r="L48" s="9">
        <v>14</v>
      </c>
      <c r="M48" s="9">
        <v>2</v>
      </c>
      <c r="N48" s="10">
        <f>SUM(Tabla1[[#This Row],[N1]:[N9]])</f>
        <v>76</v>
      </c>
    </row>
    <row r="49" spans="2:14" x14ac:dyDescent="0.25">
      <c r="B49" s="7">
        <v>47</v>
      </c>
      <c r="C49" s="8" t="s">
        <v>8</v>
      </c>
      <c r="D49" s="8">
        <v>2040011</v>
      </c>
      <c r="E49" s="9">
        <v>8</v>
      </c>
      <c r="F49" s="9">
        <v>4</v>
      </c>
      <c r="G49" s="9">
        <v>10</v>
      </c>
      <c r="H49" s="9">
        <v>10</v>
      </c>
      <c r="I49" s="9">
        <v>7</v>
      </c>
      <c r="J49" s="9">
        <v>8</v>
      </c>
      <c r="K49" s="9">
        <v>15</v>
      </c>
      <c r="L49" s="9">
        <v>15</v>
      </c>
      <c r="M49" s="9">
        <v>5</v>
      </c>
      <c r="N49" s="10">
        <f>SUM(Tabla1[[#This Row],[N1]:[N9]])</f>
        <v>82</v>
      </c>
    </row>
    <row r="50" spans="2:14" x14ac:dyDescent="0.25">
      <c r="B50" s="7">
        <v>48</v>
      </c>
      <c r="C50" s="8" t="s">
        <v>13</v>
      </c>
      <c r="D50" s="8">
        <v>2340145</v>
      </c>
      <c r="E50" s="9">
        <v>10</v>
      </c>
      <c r="F50" s="9">
        <v>11</v>
      </c>
      <c r="G50" s="9">
        <v>12</v>
      </c>
      <c r="H50" s="9">
        <v>7</v>
      </c>
      <c r="I50" s="9">
        <v>7</v>
      </c>
      <c r="J50" s="9"/>
      <c r="K50" s="9">
        <v>14</v>
      </c>
      <c r="L50" s="9">
        <v>15</v>
      </c>
      <c r="M50" s="9">
        <v>3</v>
      </c>
      <c r="N50" s="10">
        <f>SUM(Tabla1[[#This Row],[N1]:[N9]])</f>
        <v>79</v>
      </c>
    </row>
    <row r="51" spans="2:14" x14ac:dyDescent="0.25">
      <c r="B51" s="7">
        <v>49</v>
      </c>
      <c r="C51" s="8" t="s">
        <v>30</v>
      </c>
      <c r="D51" s="8">
        <v>2340153</v>
      </c>
      <c r="E51" s="9">
        <v>8</v>
      </c>
      <c r="F51" s="9">
        <v>6</v>
      </c>
      <c r="G51" s="9">
        <v>7</v>
      </c>
      <c r="H51" s="9">
        <v>7</v>
      </c>
      <c r="I51" s="9">
        <v>8</v>
      </c>
      <c r="J51" s="9"/>
      <c r="K51" s="9">
        <v>9</v>
      </c>
      <c r="L51" s="9">
        <v>14</v>
      </c>
      <c r="M51" s="9">
        <v>3</v>
      </c>
      <c r="N51" s="10">
        <f>SUM(Tabla1[[#This Row],[N1]:[N9]])</f>
        <v>62</v>
      </c>
    </row>
    <row r="52" spans="2:14" x14ac:dyDescent="0.25">
      <c r="B52" s="7">
        <v>50</v>
      </c>
      <c r="C52" s="11" t="s">
        <v>96</v>
      </c>
      <c r="D52" s="11">
        <v>2340082</v>
      </c>
      <c r="E52" s="12">
        <v>10</v>
      </c>
      <c r="F52" s="12">
        <v>10</v>
      </c>
      <c r="G52" s="12">
        <v>11</v>
      </c>
      <c r="H52" s="12">
        <v>8</v>
      </c>
      <c r="I52" s="12">
        <v>8</v>
      </c>
      <c r="J52" s="12"/>
      <c r="K52" s="12"/>
      <c r="L52" s="12">
        <v>13</v>
      </c>
      <c r="M52" s="12">
        <v>2</v>
      </c>
      <c r="N52" s="13">
        <f>SUM(Tabla1[[#This Row],[N1]:[N9]])</f>
        <v>62</v>
      </c>
    </row>
    <row r="53" spans="2:14" x14ac:dyDescent="0.25">
      <c r="B53" s="7">
        <v>51</v>
      </c>
      <c r="C53" s="11" t="s">
        <v>95</v>
      </c>
      <c r="D53" s="11">
        <v>2340405</v>
      </c>
      <c r="E53" s="12">
        <v>10</v>
      </c>
      <c r="F53" s="12">
        <v>9</v>
      </c>
      <c r="G53" s="12">
        <v>8</v>
      </c>
      <c r="H53" s="12">
        <v>7</v>
      </c>
      <c r="I53" s="12">
        <v>10</v>
      </c>
      <c r="J53" s="12">
        <v>8</v>
      </c>
      <c r="K53" s="12">
        <v>13</v>
      </c>
      <c r="L53" s="12">
        <v>15</v>
      </c>
      <c r="M53" s="12">
        <v>4</v>
      </c>
      <c r="N53" s="13">
        <f>SUM(Tabla1[[#This Row],[N1]:[N9]])</f>
        <v>84</v>
      </c>
    </row>
    <row r="54" spans="2:14" x14ac:dyDescent="0.25">
      <c r="B54" s="7">
        <v>52</v>
      </c>
      <c r="C54" s="11" t="s">
        <v>20</v>
      </c>
      <c r="D54" s="11">
        <v>2340154</v>
      </c>
      <c r="E54" s="12">
        <v>10</v>
      </c>
      <c r="F54" s="12">
        <v>7</v>
      </c>
      <c r="G54" s="12">
        <v>12</v>
      </c>
      <c r="H54" s="12">
        <v>8</v>
      </c>
      <c r="I54" s="12">
        <v>8</v>
      </c>
      <c r="J54" s="12">
        <v>8</v>
      </c>
      <c r="K54" s="12">
        <v>14</v>
      </c>
      <c r="L54" s="12">
        <v>15</v>
      </c>
      <c r="M54" s="12">
        <v>7</v>
      </c>
      <c r="N54" s="13">
        <f>SUM(Tabla1[[#This Row],[N1]:[N9]])</f>
        <v>89</v>
      </c>
    </row>
    <row r="55" spans="2:14" x14ac:dyDescent="0.25">
      <c r="B55" s="7">
        <v>53</v>
      </c>
      <c r="C55" s="11" t="s">
        <v>97</v>
      </c>
      <c r="D55" s="11">
        <v>2140124</v>
      </c>
      <c r="E55" s="12">
        <v>10</v>
      </c>
      <c r="F55" s="12">
        <v>8</v>
      </c>
      <c r="G55" s="12">
        <v>9</v>
      </c>
      <c r="H55" s="12">
        <v>8</v>
      </c>
      <c r="I55" s="12">
        <v>8</v>
      </c>
      <c r="J55" s="12">
        <v>9</v>
      </c>
      <c r="K55" s="12">
        <v>15</v>
      </c>
      <c r="L55" s="12">
        <v>15</v>
      </c>
      <c r="M55" s="12">
        <v>4</v>
      </c>
      <c r="N55" s="13">
        <f>SUM(Tabla1[[#This Row],[N1]:[N9]])</f>
        <v>86</v>
      </c>
    </row>
  </sheetData>
  <sortState xmlns:xlrd2="http://schemas.microsoft.com/office/spreadsheetml/2017/richdata2" ref="B3:D51">
    <sortCondition ref="B2:B5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9E68-7E42-4681-A00B-7095EFC36EE8}">
  <dimension ref="B1:O37"/>
  <sheetViews>
    <sheetView topLeftCell="A22" workbookViewId="0">
      <selection activeCell="A11" sqref="A11:XFD11"/>
    </sheetView>
  </sheetViews>
  <sheetFormatPr baseColWidth="10" defaultRowHeight="15" x14ac:dyDescent="0.25"/>
  <cols>
    <col min="2" max="2" width="4.7109375" bestFit="1" customWidth="1"/>
    <col min="3" max="3" width="35" bestFit="1" customWidth="1"/>
    <col min="5" max="13" width="5.7109375" bestFit="1" customWidth="1"/>
    <col min="14" max="14" width="6.7109375" bestFit="1" customWidth="1"/>
    <col min="15" max="15" width="5.7109375" bestFit="1" customWidth="1"/>
  </cols>
  <sheetData>
    <row r="1" spans="2:15" x14ac:dyDescent="0.25">
      <c r="E1">
        <v>11</v>
      </c>
      <c r="F1">
        <v>10</v>
      </c>
      <c r="G1">
        <v>12</v>
      </c>
      <c r="H1">
        <v>10</v>
      </c>
      <c r="I1">
        <v>10</v>
      </c>
      <c r="J1">
        <v>10</v>
      </c>
      <c r="K1">
        <v>10</v>
      </c>
      <c r="L1">
        <v>10</v>
      </c>
      <c r="M1">
        <v>10</v>
      </c>
      <c r="N1">
        <v>7</v>
      </c>
      <c r="O1">
        <f>SUM(E1:N1)</f>
        <v>100</v>
      </c>
    </row>
    <row r="2" spans="2:15" x14ac:dyDescent="0.25">
      <c r="B2" t="s">
        <v>1</v>
      </c>
      <c r="C2" t="s">
        <v>29</v>
      </c>
      <c r="D2" t="s">
        <v>31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85</v>
      </c>
    </row>
    <row r="3" spans="2:15" x14ac:dyDescent="0.25">
      <c r="B3">
        <v>1</v>
      </c>
      <c r="C3" s="1" t="s">
        <v>38</v>
      </c>
      <c r="D3" s="2">
        <v>2240263</v>
      </c>
      <c r="E3">
        <v>11</v>
      </c>
      <c r="F3">
        <v>10</v>
      </c>
      <c r="G3">
        <v>12</v>
      </c>
      <c r="H3">
        <v>10</v>
      </c>
      <c r="I3">
        <v>8</v>
      </c>
      <c r="J3">
        <v>8</v>
      </c>
      <c r="M3">
        <v>10</v>
      </c>
      <c r="N3">
        <v>5</v>
      </c>
      <c r="O3">
        <f t="shared" ref="O3:O37" si="0">SUM(E3:N3)</f>
        <v>74</v>
      </c>
    </row>
    <row r="4" spans="2:15" x14ac:dyDescent="0.25">
      <c r="B4">
        <v>2</v>
      </c>
      <c r="C4" s="3" t="s">
        <v>39</v>
      </c>
      <c r="D4" s="2">
        <v>2240279</v>
      </c>
      <c r="E4">
        <v>11</v>
      </c>
      <c r="F4">
        <v>10</v>
      </c>
      <c r="G4">
        <v>12</v>
      </c>
      <c r="H4">
        <v>10</v>
      </c>
      <c r="I4">
        <v>8</v>
      </c>
      <c r="J4">
        <v>10</v>
      </c>
      <c r="K4">
        <v>10</v>
      </c>
      <c r="L4">
        <v>10</v>
      </c>
      <c r="M4">
        <v>10</v>
      </c>
      <c r="N4">
        <v>6</v>
      </c>
      <c r="O4">
        <f t="shared" si="0"/>
        <v>97</v>
      </c>
    </row>
    <row r="5" spans="2:15" x14ac:dyDescent="0.25">
      <c r="B5">
        <v>3</v>
      </c>
      <c r="C5" s="3" t="s">
        <v>47</v>
      </c>
      <c r="D5" s="2">
        <v>2240076</v>
      </c>
      <c r="E5">
        <v>11</v>
      </c>
      <c r="F5">
        <v>9</v>
      </c>
      <c r="G5">
        <v>12</v>
      </c>
      <c r="H5">
        <v>10</v>
      </c>
      <c r="I5">
        <v>8</v>
      </c>
      <c r="J5">
        <v>10</v>
      </c>
      <c r="K5">
        <v>10</v>
      </c>
      <c r="L5">
        <v>10</v>
      </c>
      <c r="M5">
        <v>10</v>
      </c>
      <c r="N5">
        <v>7</v>
      </c>
      <c r="O5">
        <f t="shared" si="0"/>
        <v>97</v>
      </c>
    </row>
    <row r="6" spans="2:15" x14ac:dyDescent="0.25">
      <c r="B6">
        <v>4</v>
      </c>
      <c r="C6" s="3" t="s">
        <v>50</v>
      </c>
      <c r="D6" s="2">
        <v>2240311</v>
      </c>
      <c r="E6">
        <v>9</v>
      </c>
      <c r="F6">
        <v>9</v>
      </c>
      <c r="G6">
        <v>12</v>
      </c>
      <c r="I6">
        <v>10</v>
      </c>
      <c r="J6">
        <v>8</v>
      </c>
      <c r="K6">
        <v>10</v>
      </c>
      <c r="L6">
        <v>10</v>
      </c>
      <c r="M6">
        <v>10</v>
      </c>
      <c r="N6">
        <v>6</v>
      </c>
      <c r="O6">
        <f t="shared" si="0"/>
        <v>84</v>
      </c>
    </row>
    <row r="7" spans="2:15" x14ac:dyDescent="0.25">
      <c r="B7">
        <v>5</v>
      </c>
      <c r="C7" s="3" t="s">
        <v>54</v>
      </c>
      <c r="D7" s="2">
        <v>2240286</v>
      </c>
      <c r="E7">
        <v>11</v>
      </c>
      <c r="F7">
        <v>10</v>
      </c>
      <c r="G7">
        <v>12</v>
      </c>
      <c r="H7">
        <v>8</v>
      </c>
      <c r="I7">
        <v>8</v>
      </c>
      <c r="J7">
        <v>8</v>
      </c>
      <c r="K7">
        <v>7</v>
      </c>
      <c r="L7">
        <v>8</v>
      </c>
      <c r="M7">
        <v>10</v>
      </c>
      <c r="N7">
        <v>7</v>
      </c>
      <c r="O7">
        <f t="shared" si="0"/>
        <v>89</v>
      </c>
    </row>
    <row r="8" spans="2:15" x14ac:dyDescent="0.25">
      <c r="B8">
        <v>6</v>
      </c>
      <c r="C8" s="3" t="s">
        <v>53</v>
      </c>
      <c r="D8" s="2">
        <v>2240250</v>
      </c>
      <c r="E8">
        <v>8</v>
      </c>
      <c r="F8">
        <v>10</v>
      </c>
      <c r="G8">
        <v>12</v>
      </c>
      <c r="H8">
        <v>10</v>
      </c>
      <c r="I8">
        <v>7</v>
      </c>
      <c r="J8">
        <v>7</v>
      </c>
      <c r="K8">
        <v>10</v>
      </c>
      <c r="L8">
        <v>9</v>
      </c>
      <c r="M8">
        <v>10</v>
      </c>
      <c r="N8">
        <v>6</v>
      </c>
      <c r="O8">
        <f t="shared" si="0"/>
        <v>89</v>
      </c>
    </row>
    <row r="9" spans="2:15" x14ac:dyDescent="0.25">
      <c r="B9">
        <v>7</v>
      </c>
      <c r="C9" s="3" t="s">
        <v>40</v>
      </c>
      <c r="D9" s="2">
        <v>2140035</v>
      </c>
      <c r="E9">
        <v>11</v>
      </c>
      <c r="F9">
        <v>10</v>
      </c>
      <c r="G9">
        <v>12</v>
      </c>
      <c r="H9">
        <v>10</v>
      </c>
      <c r="I9">
        <v>8</v>
      </c>
      <c r="J9">
        <v>8</v>
      </c>
      <c r="K9">
        <v>10</v>
      </c>
      <c r="L9">
        <v>9</v>
      </c>
      <c r="M9">
        <v>10</v>
      </c>
      <c r="N9">
        <v>7</v>
      </c>
      <c r="O9">
        <f t="shared" si="0"/>
        <v>95</v>
      </c>
    </row>
    <row r="10" spans="2:15" x14ac:dyDescent="0.25">
      <c r="B10">
        <v>8</v>
      </c>
      <c r="C10" s="3" t="s">
        <v>48</v>
      </c>
      <c r="D10" s="2">
        <v>2240381</v>
      </c>
      <c r="E10">
        <v>8</v>
      </c>
      <c r="F10">
        <v>10</v>
      </c>
      <c r="G10">
        <v>12</v>
      </c>
      <c r="H10">
        <v>10</v>
      </c>
      <c r="I10">
        <v>7</v>
      </c>
      <c r="J10">
        <v>8</v>
      </c>
      <c r="K10">
        <v>10</v>
      </c>
      <c r="L10">
        <v>9</v>
      </c>
      <c r="M10">
        <v>10</v>
      </c>
      <c r="N10">
        <v>7</v>
      </c>
      <c r="O10">
        <f t="shared" si="0"/>
        <v>91</v>
      </c>
    </row>
    <row r="11" spans="2:15" x14ac:dyDescent="0.25">
      <c r="B11">
        <v>9</v>
      </c>
      <c r="C11" s="3" t="s">
        <v>41</v>
      </c>
      <c r="D11" s="2">
        <v>2040013</v>
      </c>
      <c r="E11">
        <v>11</v>
      </c>
      <c r="F11">
        <v>10</v>
      </c>
      <c r="G11">
        <v>12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7</v>
      </c>
      <c r="O11">
        <f t="shared" si="0"/>
        <v>100</v>
      </c>
    </row>
    <row r="12" spans="2:15" x14ac:dyDescent="0.25">
      <c r="B12">
        <v>10</v>
      </c>
      <c r="C12" s="3" t="s">
        <v>67</v>
      </c>
      <c r="D12" s="2">
        <v>2240344</v>
      </c>
      <c r="E12">
        <v>11</v>
      </c>
      <c r="F12">
        <v>10</v>
      </c>
      <c r="G12">
        <v>12</v>
      </c>
      <c r="H12">
        <v>10</v>
      </c>
      <c r="I12">
        <v>7</v>
      </c>
      <c r="L12">
        <v>7</v>
      </c>
      <c r="M12">
        <v>10</v>
      </c>
      <c r="N12">
        <v>5</v>
      </c>
      <c r="O12">
        <f t="shared" si="0"/>
        <v>72</v>
      </c>
    </row>
    <row r="13" spans="2:15" x14ac:dyDescent="0.25">
      <c r="B13">
        <v>11</v>
      </c>
      <c r="C13" s="3" t="s">
        <v>60</v>
      </c>
      <c r="D13" s="2">
        <v>2240248</v>
      </c>
      <c r="E13">
        <v>11</v>
      </c>
      <c r="F13">
        <v>10</v>
      </c>
      <c r="G13">
        <v>12</v>
      </c>
      <c r="H13">
        <v>8</v>
      </c>
      <c r="I13">
        <v>9</v>
      </c>
      <c r="J13">
        <v>8</v>
      </c>
      <c r="K13">
        <v>10</v>
      </c>
      <c r="L13">
        <v>8</v>
      </c>
      <c r="M13">
        <v>10</v>
      </c>
      <c r="N13">
        <v>7</v>
      </c>
      <c r="O13">
        <f t="shared" si="0"/>
        <v>93</v>
      </c>
    </row>
    <row r="14" spans="2:15" x14ac:dyDescent="0.25">
      <c r="B14">
        <v>12</v>
      </c>
      <c r="C14" s="3" t="s">
        <v>56</v>
      </c>
      <c r="D14" s="2">
        <v>2240262</v>
      </c>
      <c r="E14">
        <v>11</v>
      </c>
      <c r="F14">
        <v>10</v>
      </c>
      <c r="G14">
        <v>12</v>
      </c>
      <c r="H14">
        <v>9</v>
      </c>
      <c r="I14">
        <v>10</v>
      </c>
      <c r="J14">
        <v>9</v>
      </c>
      <c r="K14">
        <v>9</v>
      </c>
      <c r="L14">
        <v>9</v>
      </c>
      <c r="M14">
        <v>10</v>
      </c>
      <c r="N14">
        <v>7</v>
      </c>
      <c r="O14">
        <f t="shared" si="0"/>
        <v>96</v>
      </c>
    </row>
    <row r="15" spans="2:15" x14ac:dyDescent="0.25">
      <c r="B15">
        <v>13</v>
      </c>
      <c r="C15" s="3" t="s">
        <v>51</v>
      </c>
      <c r="D15" s="2">
        <v>2240255</v>
      </c>
      <c r="E15">
        <v>8</v>
      </c>
      <c r="F15">
        <v>10</v>
      </c>
      <c r="G15">
        <v>12</v>
      </c>
      <c r="H15">
        <v>10</v>
      </c>
      <c r="I15">
        <v>9</v>
      </c>
      <c r="J15">
        <v>10</v>
      </c>
      <c r="K15">
        <v>10</v>
      </c>
      <c r="L15">
        <v>10</v>
      </c>
      <c r="M15">
        <v>9</v>
      </c>
      <c r="N15">
        <v>7</v>
      </c>
      <c r="O15">
        <f t="shared" si="0"/>
        <v>95</v>
      </c>
    </row>
    <row r="16" spans="2:15" x14ac:dyDescent="0.25">
      <c r="B16">
        <v>14</v>
      </c>
      <c r="C16" s="3" t="s">
        <v>59</v>
      </c>
      <c r="D16" s="2">
        <v>2240257</v>
      </c>
      <c r="E16">
        <v>10</v>
      </c>
      <c r="F16">
        <v>10</v>
      </c>
      <c r="G16">
        <v>12</v>
      </c>
      <c r="H16">
        <v>8</v>
      </c>
      <c r="I16">
        <v>10</v>
      </c>
      <c r="J16">
        <v>7</v>
      </c>
      <c r="K16">
        <v>10</v>
      </c>
      <c r="L16">
        <v>10</v>
      </c>
      <c r="M16">
        <v>10</v>
      </c>
      <c r="N16">
        <v>7</v>
      </c>
      <c r="O16">
        <f t="shared" si="0"/>
        <v>94</v>
      </c>
    </row>
    <row r="17" spans="2:15" x14ac:dyDescent="0.25">
      <c r="B17">
        <v>15</v>
      </c>
      <c r="C17" s="3" t="s">
        <v>63</v>
      </c>
      <c r="D17" s="2">
        <v>2240259</v>
      </c>
      <c r="E17">
        <v>8</v>
      </c>
      <c r="F17">
        <v>10</v>
      </c>
      <c r="G17">
        <v>11</v>
      </c>
      <c r="H17">
        <v>10</v>
      </c>
      <c r="I17">
        <v>9</v>
      </c>
      <c r="J17">
        <v>8</v>
      </c>
      <c r="K17">
        <v>10</v>
      </c>
      <c r="L17">
        <v>10</v>
      </c>
      <c r="M17">
        <v>10</v>
      </c>
      <c r="N17">
        <v>7</v>
      </c>
      <c r="O17">
        <f>SUM(E17:N17)</f>
        <v>93</v>
      </c>
    </row>
    <row r="18" spans="2:15" x14ac:dyDescent="0.25">
      <c r="B18">
        <v>16</v>
      </c>
      <c r="C18" s="3" t="s">
        <v>42</v>
      </c>
      <c r="D18" s="2">
        <v>2140161</v>
      </c>
      <c r="E18">
        <v>11</v>
      </c>
      <c r="F18">
        <v>10</v>
      </c>
      <c r="G18">
        <v>12</v>
      </c>
      <c r="H18">
        <v>10</v>
      </c>
      <c r="I18">
        <v>8</v>
      </c>
      <c r="J18">
        <v>8</v>
      </c>
      <c r="K18">
        <v>10</v>
      </c>
      <c r="L18">
        <v>9</v>
      </c>
      <c r="M18">
        <v>10</v>
      </c>
      <c r="N18">
        <v>7</v>
      </c>
      <c r="O18">
        <f t="shared" si="0"/>
        <v>95</v>
      </c>
    </row>
    <row r="19" spans="2:15" x14ac:dyDescent="0.25">
      <c r="B19">
        <v>17</v>
      </c>
      <c r="C19" s="1" t="s">
        <v>57</v>
      </c>
      <c r="D19" s="2">
        <v>2240043</v>
      </c>
      <c r="E19">
        <v>11</v>
      </c>
      <c r="F19">
        <v>10</v>
      </c>
      <c r="G19">
        <v>12</v>
      </c>
      <c r="H19">
        <v>8</v>
      </c>
      <c r="I19">
        <v>10</v>
      </c>
      <c r="J19">
        <v>8</v>
      </c>
      <c r="K19">
        <v>9</v>
      </c>
      <c r="L19">
        <v>9</v>
      </c>
      <c r="M19">
        <v>10</v>
      </c>
      <c r="N19">
        <v>7</v>
      </c>
      <c r="O19">
        <f t="shared" si="0"/>
        <v>94</v>
      </c>
    </row>
    <row r="20" spans="2:15" x14ac:dyDescent="0.25">
      <c r="B20">
        <v>18</v>
      </c>
      <c r="C20" s="3" t="s">
        <v>43</v>
      </c>
      <c r="D20" s="2">
        <v>2140003</v>
      </c>
      <c r="E20">
        <v>11</v>
      </c>
      <c r="F20">
        <v>10</v>
      </c>
      <c r="G20">
        <v>12</v>
      </c>
      <c r="H20">
        <v>10</v>
      </c>
      <c r="I20">
        <v>8</v>
      </c>
      <c r="J20">
        <v>8</v>
      </c>
      <c r="K20">
        <v>10</v>
      </c>
      <c r="L20">
        <v>9</v>
      </c>
      <c r="M20">
        <v>10</v>
      </c>
      <c r="N20">
        <v>7</v>
      </c>
      <c r="O20">
        <f t="shared" si="0"/>
        <v>95</v>
      </c>
    </row>
    <row r="21" spans="2:15" x14ac:dyDescent="0.25">
      <c r="B21">
        <v>19</v>
      </c>
      <c r="C21" s="1" t="s">
        <v>68</v>
      </c>
      <c r="D21" s="2">
        <v>2240290</v>
      </c>
      <c r="E21">
        <v>11</v>
      </c>
      <c r="F21">
        <v>10</v>
      </c>
      <c r="G21">
        <v>12</v>
      </c>
      <c r="I21">
        <v>9</v>
      </c>
      <c r="J21">
        <v>10</v>
      </c>
      <c r="K21">
        <v>8</v>
      </c>
      <c r="L21">
        <v>8</v>
      </c>
      <c r="N21">
        <v>7</v>
      </c>
      <c r="O21">
        <f t="shared" si="0"/>
        <v>75</v>
      </c>
    </row>
    <row r="22" spans="2:15" x14ac:dyDescent="0.25">
      <c r="B22">
        <v>20</v>
      </c>
      <c r="C22" s="1" t="s">
        <v>62</v>
      </c>
      <c r="D22" s="2">
        <v>2240260</v>
      </c>
      <c r="E22">
        <v>11</v>
      </c>
      <c r="F22">
        <v>10</v>
      </c>
      <c r="G22">
        <v>12</v>
      </c>
      <c r="H22">
        <v>8</v>
      </c>
      <c r="I22">
        <v>9</v>
      </c>
      <c r="J22">
        <v>8</v>
      </c>
      <c r="K22">
        <v>10</v>
      </c>
      <c r="L22">
        <v>10</v>
      </c>
      <c r="M22">
        <v>10</v>
      </c>
      <c r="N22">
        <v>7</v>
      </c>
      <c r="O22">
        <f t="shared" si="0"/>
        <v>95</v>
      </c>
    </row>
    <row r="23" spans="2:15" x14ac:dyDescent="0.25">
      <c r="B23">
        <v>21</v>
      </c>
      <c r="C23" s="1" t="s">
        <v>82</v>
      </c>
      <c r="D23" s="2"/>
      <c r="O23">
        <f t="shared" si="0"/>
        <v>0</v>
      </c>
    </row>
    <row r="24" spans="2:15" x14ac:dyDescent="0.25">
      <c r="B24">
        <v>22</v>
      </c>
      <c r="C24" s="1" t="s">
        <v>58</v>
      </c>
      <c r="D24" s="2">
        <v>2240261</v>
      </c>
      <c r="E24">
        <v>11</v>
      </c>
      <c r="F24">
        <v>10</v>
      </c>
      <c r="G24">
        <v>12</v>
      </c>
      <c r="H24">
        <v>10</v>
      </c>
      <c r="I24">
        <v>10</v>
      </c>
      <c r="J24">
        <v>7</v>
      </c>
      <c r="K24">
        <v>10</v>
      </c>
      <c r="L24">
        <v>8</v>
      </c>
      <c r="M24">
        <v>10</v>
      </c>
      <c r="N24">
        <v>7</v>
      </c>
      <c r="O24">
        <f t="shared" si="0"/>
        <v>95</v>
      </c>
    </row>
    <row r="25" spans="2:15" x14ac:dyDescent="0.25">
      <c r="B25">
        <v>23</v>
      </c>
      <c r="C25" s="1" t="s">
        <v>64</v>
      </c>
      <c r="D25" s="2">
        <v>2240276</v>
      </c>
      <c r="E25">
        <v>11</v>
      </c>
      <c r="F25">
        <v>10</v>
      </c>
      <c r="G25">
        <v>12</v>
      </c>
      <c r="H25">
        <v>10</v>
      </c>
      <c r="I25">
        <v>8</v>
      </c>
      <c r="J25">
        <v>8</v>
      </c>
      <c r="K25">
        <v>10</v>
      </c>
      <c r="L25">
        <v>10</v>
      </c>
      <c r="M25">
        <v>10</v>
      </c>
      <c r="N25">
        <v>6</v>
      </c>
      <c r="O25">
        <f t="shared" si="0"/>
        <v>95</v>
      </c>
    </row>
    <row r="26" spans="2:15" x14ac:dyDescent="0.25">
      <c r="B26">
        <v>24</v>
      </c>
      <c r="C26" s="1" t="s">
        <v>69</v>
      </c>
      <c r="D26" s="2" t="s">
        <v>70</v>
      </c>
      <c r="E26">
        <v>9</v>
      </c>
      <c r="F26">
        <v>9</v>
      </c>
      <c r="G26">
        <v>12</v>
      </c>
      <c r="H26">
        <v>10</v>
      </c>
      <c r="I26">
        <v>7</v>
      </c>
      <c r="J26">
        <v>10</v>
      </c>
      <c r="K26">
        <v>9</v>
      </c>
      <c r="L26">
        <v>9</v>
      </c>
      <c r="N26">
        <v>7</v>
      </c>
      <c r="O26">
        <f t="shared" si="0"/>
        <v>82</v>
      </c>
    </row>
    <row r="27" spans="2:15" x14ac:dyDescent="0.25">
      <c r="B27">
        <v>25</v>
      </c>
      <c r="C27" s="1" t="s">
        <v>65</v>
      </c>
      <c r="D27" s="2">
        <v>2240258</v>
      </c>
      <c r="E27">
        <v>10</v>
      </c>
      <c r="F27">
        <v>10</v>
      </c>
      <c r="G27">
        <v>12</v>
      </c>
      <c r="H27">
        <v>10</v>
      </c>
      <c r="I27">
        <v>8</v>
      </c>
      <c r="J27">
        <v>8</v>
      </c>
      <c r="K27">
        <v>10</v>
      </c>
      <c r="L27">
        <v>10</v>
      </c>
      <c r="M27">
        <v>9</v>
      </c>
      <c r="N27">
        <v>7</v>
      </c>
      <c r="O27">
        <f t="shared" si="0"/>
        <v>94</v>
      </c>
    </row>
    <row r="28" spans="2:15" x14ac:dyDescent="0.25">
      <c r="B28">
        <v>26</v>
      </c>
      <c r="C28" s="1" t="s">
        <v>84</v>
      </c>
      <c r="D28" s="2" t="s">
        <v>71</v>
      </c>
      <c r="E28">
        <v>8</v>
      </c>
      <c r="F28">
        <v>9</v>
      </c>
      <c r="G28">
        <v>12</v>
      </c>
      <c r="H28">
        <v>7</v>
      </c>
      <c r="I28">
        <v>8</v>
      </c>
      <c r="J28">
        <v>10</v>
      </c>
      <c r="K28">
        <v>8</v>
      </c>
      <c r="L28">
        <v>8</v>
      </c>
      <c r="M28">
        <v>10</v>
      </c>
      <c r="N28">
        <v>6</v>
      </c>
      <c r="O28">
        <f t="shared" si="0"/>
        <v>86</v>
      </c>
    </row>
    <row r="29" spans="2:15" x14ac:dyDescent="0.25">
      <c r="B29">
        <v>27</v>
      </c>
      <c r="C29" s="1" t="s">
        <v>52</v>
      </c>
      <c r="D29" s="2">
        <v>2240082</v>
      </c>
      <c r="E29">
        <v>7</v>
      </c>
      <c r="F29">
        <v>10</v>
      </c>
      <c r="G29">
        <v>12</v>
      </c>
      <c r="H29">
        <v>10</v>
      </c>
      <c r="I29">
        <v>7</v>
      </c>
      <c r="J29">
        <v>7</v>
      </c>
      <c r="K29">
        <v>10</v>
      </c>
      <c r="L29">
        <v>9</v>
      </c>
      <c r="M29">
        <v>10</v>
      </c>
      <c r="N29">
        <v>6</v>
      </c>
      <c r="O29">
        <f t="shared" si="0"/>
        <v>88</v>
      </c>
    </row>
    <row r="30" spans="2:15" x14ac:dyDescent="0.25">
      <c r="B30">
        <v>28</v>
      </c>
      <c r="C30" s="3" t="s">
        <v>49</v>
      </c>
      <c r="D30" s="2">
        <v>2140137</v>
      </c>
      <c r="E30">
        <v>11</v>
      </c>
      <c r="F30">
        <v>10</v>
      </c>
      <c r="G30">
        <v>12</v>
      </c>
      <c r="H30">
        <v>10</v>
      </c>
      <c r="I30">
        <v>9</v>
      </c>
      <c r="J30">
        <v>9</v>
      </c>
      <c r="K30">
        <v>10</v>
      </c>
      <c r="L30">
        <v>10</v>
      </c>
      <c r="M30">
        <v>10</v>
      </c>
      <c r="N30">
        <v>7</v>
      </c>
      <c r="O30">
        <f t="shared" si="0"/>
        <v>98</v>
      </c>
    </row>
    <row r="31" spans="2:15" x14ac:dyDescent="0.25">
      <c r="B31">
        <v>29</v>
      </c>
      <c r="C31" s="1" t="s">
        <v>83</v>
      </c>
      <c r="D31" s="2"/>
      <c r="O31">
        <f t="shared" si="0"/>
        <v>0</v>
      </c>
    </row>
    <row r="32" spans="2:15" x14ac:dyDescent="0.25">
      <c r="B32">
        <v>30</v>
      </c>
      <c r="C32" s="1" t="s">
        <v>55</v>
      </c>
      <c r="D32" s="2">
        <v>2240130</v>
      </c>
      <c r="E32">
        <v>11</v>
      </c>
      <c r="F32">
        <v>8</v>
      </c>
      <c r="G32">
        <v>12</v>
      </c>
      <c r="H32">
        <v>7</v>
      </c>
      <c r="I32">
        <v>8</v>
      </c>
      <c r="J32">
        <v>8</v>
      </c>
      <c r="K32">
        <v>7</v>
      </c>
      <c r="L32">
        <v>7</v>
      </c>
      <c r="M32">
        <v>10</v>
      </c>
      <c r="N32">
        <v>7</v>
      </c>
      <c r="O32">
        <f t="shared" si="0"/>
        <v>85</v>
      </c>
    </row>
    <row r="33" spans="2:15" x14ac:dyDescent="0.25">
      <c r="B33">
        <v>31</v>
      </c>
      <c r="C33" s="1" t="s">
        <v>66</v>
      </c>
      <c r="D33" s="2">
        <v>2240091</v>
      </c>
      <c r="E33">
        <v>9</v>
      </c>
      <c r="F33">
        <v>6</v>
      </c>
      <c r="G33">
        <v>12</v>
      </c>
      <c r="I33">
        <v>7</v>
      </c>
      <c r="J33">
        <v>7</v>
      </c>
      <c r="K33">
        <v>10</v>
      </c>
      <c r="L33">
        <v>10</v>
      </c>
      <c r="M33">
        <v>10</v>
      </c>
      <c r="N33">
        <v>7</v>
      </c>
      <c r="O33">
        <f t="shared" si="0"/>
        <v>78</v>
      </c>
    </row>
    <row r="34" spans="2:15" x14ac:dyDescent="0.25">
      <c r="B34">
        <v>32</v>
      </c>
      <c r="C34" s="3" t="s">
        <v>44</v>
      </c>
      <c r="D34" s="2">
        <v>2140027</v>
      </c>
      <c r="E34">
        <v>11</v>
      </c>
      <c r="F34">
        <v>10</v>
      </c>
      <c r="G34">
        <v>12</v>
      </c>
      <c r="H34">
        <v>8</v>
      </c>
      <c r="J34">
        <v>9</v>
      </c>
      <c r="K34">
        <v>10</v>
      </c>
      <c r="L34">
        <v>10</v>
      </c>
      <c r="M34">
        <v>10</v>
      </c>
      <c r="N34">
        <v>7</v>
      </c>
      <c r="O34">
        <f t="shared" si="0"/>
        <v>87</v>
      </c>
    </row>
    <row r="35" spans="2:15" x14ac:dyDescent="0.25">
      <c r="B35">
        <v>33</v>
      </c>
      <c r="C35" s="3" t="s">
        <v>45</v>
      </c>
      <c r="D35" s="2">
        <v>2040012</v>
      </c>
      <c r="E35">
        <v>11</v>
      </c>
      <c r="F35">
        <v>10</v>
      </c>
      <c r="G35">
        <v>12</v>
      </c>
      <c r="H35">
        <v>10</v>
      </c>
      <c r="J35">
        <v>10</v>
      </c>
      <c r="K35">
        <v>10</v>
      </c>
      <c r="L35">
        <v>10</v>
      </c>
      <c r="M35">
        <v>10</v>
      </c>
      <c r="N35">
        <v>7</v>
      </c>
      <c r="O35">
        <f t="shared" si="0"/>
        <v>90</v>
      </c>
    </row>
    <row r="36" spans="2:15" x14ac:dyDescent="0.25">
      <c r="B36">
        <v>34</v>
      </c>
      <c r="C36" s="3" t="s">
        <v>46</v>
      </c>
      <c r="D36" s="2">
        <v>2140219</v>
      </c>
      <c r="E36">
        <v>11</v>
      </c>
      <c r="F36">
        <v>10</v>
      </c>
      <c r="G36">
        <v>12</v>
      </c>
      <c r="H36">
        <v>10</v>
      </c>
      <c r="I36">
        <v>9</v>
      </c>
      <c r="J36">
        <v>8</v>
      </c>
      <c r="K36">
        <v>10</v>
      </c>
      <c r="L36">
        <v>9</v>
      </c>
      <c r="M36">
        <v>10</v>
      </c>
      <c r="N36">
        <v>7</v>
      </c>
      <c r="O36">
        <f t="shared" si="0"/>
        <v>96</v>
      </c>
    </row>
    <row r="37" spans="2:15" x14ac:dyDescent="0.25">
      <c r="B37">
        <v>35</v>
      </c>
      <c r="C37" s="1" t="s">
        <v>61</v>
      </c>
      <c r="D37" s="2">
        <v>2240256</v>
      </c>
      <c r="E37">
        <v>11</v>
      </c>
      <c r="F37">
        <v>10</v>
      </c>
      <c r="G37">
        <v>12</v>
      </c>
      <c r="H37">
        <v>10</v>
      </c>
      <c r="I37">
        <v>7</v>
      </c>
      <c r="J37">
        <v>8</v>
      </c>
      <c r="K37">
        <v>10</v>
      </c>
      <c r="L37">
        <v>10</v>
      </c>
      <c r="M37">
        <v>10</v>
      </c>
      <c r="N37">
        <v>5</v>
      </c>
      <c r="O37">
        <f t="shared" si="0"/>
        <v>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8cd964-bcde-446a-be9b-a906f90c623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B1B8078E17F4EAE45E3FCC6EE0F7F" ma:contentTypeVersion="15" ma:contentTypeDescription="Create a new document." ma:contentTypeScope="" ma:versionID="8dd0d06933d41ccec6da777e6e6c252d">
  <xsd:schema xmlns:xsd="http://www.w3.org/2001/XMLSchema" xmlns:xs="http://www.w3.org/2001/XMLSchema" xmlns:p="http://schemas.microsoft.com/office/2006/metadata/properties" xmlns:ns3="e78cd964-bcde-446a-be9b-a906f90c623a" xmlns:ns4="4608b1a4-6008-49c0-85d3-704a55b4f31d" targetNamespace="http://schemas.microsoft.com/office/2006/metadata/properties" ma:root="true" ma:fieldsID="b4209c0e8ef41e75b381318dfe647cd2" ns3:_="" ns4:_="">
    <xsd:import namespace="e78cd964-bcde-446a-be9b-a906f90c623a"/>
    <xsd:import namespace="4608b1a4-6008-49c0-85d3-704a55b4f3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cd964-bcde-446a-be9b-a906f90c6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8b1a4-6008-49c0-85d3-704a55b4f31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63791F-A668-418A-8957-486DD19168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8286D5-00D9-4F2F-A71B-E9DF3A8FD733}">
  <ds:schemaRefs>
    <ds:schemaRef ds:uri="http://purl.org/dc/terms/"/>
    <ds:schemaRef ds:uri="http://www.w3.org/XML/1998/namespace"/>
    <ds:schemaRef ds:uri="4608b1a4-6008-49c0-85d3-704a55b4f31d"/>
    <ds:schemaRef ds:uri="http://schemas.microsoft.com/office/2006/metadata/properties"/>
    <ds:schemaRef ds:uri="http://purl.org/dc/dcmitype/"/>
    <ds:schemaRef ds:uri="e78cd964-bcde-446a-be9b-a906f90c6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4222598-FB2C-4228-A941-8F542EEC4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cd964-bcde-446a-be9b-a906f90c623a"/>
    <ds:schemaRef ds:uri="4608b1a4-6008-49c0-85d3-704a55b4f3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Grupo 1</vt:lpstr>
      <vt:lpstr>Grupo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dcterms:created xsi:type="dcterms:W3CDTF">2023-07-10T03:32:59Z</dcterms:created>
  <dcterms:modified xsi:type="dcterms:W3CDTF">2023-07-19T18:41:54Z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0x010100C83B1B8078E17F4EAE45E3FCC6EE0F7F</vt:lpwstr>
  </property>
</Properties>
</file>