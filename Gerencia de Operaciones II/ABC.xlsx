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"/>
    </mc:Choice>
  </mc:AlternateContent>
  <xr:revisionPtr revIDLastSave="103" documentId="8_{6FE85DB0-F7FA-4208-8468-75F61FD88581}" xr6:coauthVersionLast="47" xr6:coauthVersionMax="47" xr10:uidLastSave="{0803A9CE-B93B-4247-9755-982D3D6A0BD6}"/>
  <bookViews>
    <workbookView xWindow="-108" yWindow="-108" windowWidth="23256" windowHeight="12456" xr2:uid="{9AD4FE94-C7B0-44E4-912C-FDF2992FAA9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B20" i="1"/>
  <c r="G5" i="1"/>
  <c r="G20" i="1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C22" i="1"/>
  <c r="C24" i="1"/>
  <c r="C23" i="1"/>
  <c r="F24" i="1" l="1"/>
  <c r="F23" i="1"/>
</calcChain>
</file>

<file path=xl/sharedStrings.xml><?xml version="1.0" encoding="utf-8"?>
<sst xmlns="http://schemas.openxmlformats.org/spreadsheetml/2006/main" count="60" uniqueCount="25">
  <si>
    <t>Promedio</t>
  </si>
  <si>
    <t>Cantidad disponible</t>
  </si>
  <si>
    <t>Consumo promedio</t>
  </si>
  <si>
    <t>Art 1</t>
  </si>
  <si>
    <t>Art 2</t>
  </si>
  <si>
    <t>Art 3</t>
  </si>
  <si>
    <t>Art 4</t>
  </si>
  <si>
    <t>Art 5</t>
  </si>
  <si>
    <t>Art 6</t>
  </si>
  <si>
    <t>Art 7</t>
  </si>
  <si>
    <t>Art 8</t>
  </si>
  <si>
    <t>Art 9</t>
  </si>
  <si>
    <t>Art 10</t>
  </si>
  <si>
    <t>Art 11</t>
  </si>
  <si>
    <t>Art 12</t>
  </si>
  <si>
    <t>Art 13</t>
  </si>
  <si>
    <t>Art 14</t>
  </si>
  <si>
    <t>Art 15</t>
  </si>
  <si>
    <t>Artículo</t>
  </si>
  <si>
    <t>A</t>
  </si>
  <si>
    <t>B</t>
  </si>
  <si>
    <t>C</t>
  </si>
  <si>
    <t>Zona</t>
  </si>
  <si>
    <t>Valor Inventario</t>
  </si>
  <si>
    <t>Zona2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</si>
</sst>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7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95D665-45BA-4DD8-8837-399D804AEA4A}" name="Tabla3" displayName="Tabla3" ref="B4:H20" totalsRowCount="1" headerRowDxfId="14" dataDxfId="15">
  <autoFilter ref="B4:H19" xr:uid="{8B95D665-45BA-4DD8-8837-399D804AEA4A}"/>
  <sortState xmlns:xlrd2="http://schemas.microsoft.com/office/spreadsheetml/2017/richdata2" ref="B5:G19">
    <sortCondition descending="1" ref="C4:C19"/>
  </sortState>
  <tableColumns count="7">
    <tableColumn id="1" xr3:uid="{7F6F9E06-DA7C-4719-BEA4-C61248C60FCA}" name="Artículo" totalsRowFunction="custom" dataDxfId="13" totalsRowDxfId="6">
      <totalsRowFormula>COUNTA(Tabla3[Artículo])</totalsRowFormula>
    </tableColumn>
    <tableColumn id="2" xr3:uid="{72715824-F245-4EA5-8BBD-FC85FE8097B7}" name="Promedio" dataDxfId="12" totalsRowDxfId="5"/>
    <tableColumn id="3" xr3:uid="{313AC706-E0C7-4A9E-B36D-49281FADE067}" name="Cantidad disponible" dataDxfId="11" totalsRowDxfId="4"/>
    <tableColumn id="4" xr3:uid="{1FED9116-DED9-45E1-B509-75EEBE366843}" name="Consumo promedio" dataDxfId="10" totalsRowDxfId="3"/>
    <tableColumn id="5" xr3:uid="{387B82E1-3A5D-4C44-BA19-168D3A1F6FAD}" name="Zona" dataDxfId="9" totalsRowDxfId="2">
      <calculatedColumnFormula>IF(COUNTIF(F4,"A")&lt;$C$22,"A",IF(COUNTIF(F4,"B")&lt;$C$23,"B","C"))</calculatedColumnFormula>
    </tableColumn>
    <tableColumn id="6" xr3:uid="{E2CC39CC-CC60-4D44-8751-F1F38BA3BD5E}" name="Valor Inventario" totalsRowFunction="sum" dataDxfId="8" totalsRowDxfId="1">
      <calculatedColumnFormula>Tabla3[[#This Row],[Promedio]]*Tabla3[[#This Row],[Cantidad disponible]]</calculatedColumnFormula>
    </tableColumn>
    <tableColumn id="7" xr3:uid="{EC7DF754-6E23-448B-9157-02B11C18266C}" name="Zona2" dataDxfId="7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C569-EB08-4BA9-BCF7-1CAD4711A173}">
  <dimension ref="B4:H27"/>
  <sheetViews>
    <sheetView tabSelected="1" topLeftCell="D12" zoomScale="262" workbookViewId="0">
      <selection activeCell="F23" sqref="F23"/>
    </sheetView>
  </sheetViews>
  <sheetFormatPr baseColWidth="10" defaultRowHeight="14.4" x14ac:dyDescent="0.3"/>
  <cols>
    <col min="4" max="4" width="19" customWidth="1"/>
    <col min="5" max="5" width="18.77734375" customWidth="1"/>
  </cols>
  <sheetData>
    <row r="4" spans="2:8" ht="28.8" x14ac:dyDescent="0.3">
      <c r="B4" s="1" t="s">
        <v>18</v>
      </c>
      <c r="C4" s="1" t="s">
        <v>0</v>
      </c>
      <c r="D4" s="1" t="s">
        <v>1</v>
      </c>
      <c r="E4" s="1" t="s">
        <v>2</v>
      </c>
      <c r="F4" s="1" t="s">
        <v>22</v>
      </c>
      <c r="G4" s="1" t="s">
        <v>23</v>
      </c>
      <c r="H4" s="1" t="s">
        <v>24</v>
      </c>
    </row>
    <row r="5" spans="2:8" x14ac:dyDescent="0.3">
      <c r="B5" s="3" t="s">
        <v>14</v>
      </c>
      <c r="C5" s="6">
        <v>19327</v>
      </c>
      <c r="D5" s="2">
        <v>30</v>
      </c>
      <c r="E5" s="2">
        <v>70</v>
      </c>
      <c r="F5" s="2" t="s">
        <v>19</v>
      </c>
      <c r="G5" s="2">
        <f>Tabla3[[#This Row],[Promedio]]*Tabla3[[#This Row],[Cantidad disponible]]</f>
        <v>579810</v>
      </c>
      <c r="H5" s="2" t="s">
        <v>19</v>
      </c>
    </row>
    <row r="6" spans="2:8" x14ac:dyDescent="0.3">
      <c r="B6" s="3" t="s">
        <v>4</v>
      </c>
      <c r="C6" s="6">
        <v>16602</v>
      </c>
      <c r="D6" s="2">
        <v>12</v>
      </c>
      <c r="E6" s="2">
        <v>66</v>
      </c>
      <c r="F6" s="2" t="s">
        <v>19</v>
      </c>
      <c r="G6" s="2">
        <f>Tabla3[[#This Row],[Promedio]]*Tabla3[[#This Row],[Cantidad disponible]]</f>
        <v>199224</v>
      </c>
      <c r="H6" s="2" t="s">
        <v>20</v>
      </c>
    </row>
    <row r="7" spans="2:8" x14ac:dyDescent="0.3">
      <c r="B7" s="3" t="s">
        <v>12</v>
      </c>
      <c r="C7" s="6">
        <v>15698</v>
      </c>
      <c r="D7" s="2">
        <v>20</v>
      </c>
      <c r="E7" s="2">
        <v>40</v>
      </c>
      <c r="F7" s="2" t="s">
        <v>20</v>
      </c>
      <c r="G7" s="2">
        <f>Tabla3[[#This Row],[Promedio]]*Tabla3[[#This Row],[Cantidad disponible]]</f>
        <v>313960</v>
      </c>
      <c r="H7" s="2" t="s">
        <v>20</v>
      </c>
    </row>
    <row r="8" spans="2:8" x14ac:dyDescent="0.3">
      <c r="B8" s="3" t="s">
        <v>6</v>
      </c>
      <c r="C8" s="6">
        <v>13994</v>
      </c>
      <c r="D8" s="2">
        <v>25</v>
      </c>
      <c r="E8" s="2">
        <v>71</v>
      </c>
      <c r="F8" s="2" t="s">
        <v>20</v>
      </c>
      <c r="G8" s="2">
        <f>Tabla3[[#This Row],[Promedio]]*Tabla3[[#This Row],[Cantidad disponible]]</f>
        <v>349850</v>
      </c>
      <c r="H8" s="2" t="s">
        <v>21</v>
      </c>
    </row>
    <row r="9" spans="2:8" x14ac:dyDescent="0.3">
      <c r="B9" s="3" t="s">
        <v>10</v>
      </c>
      <c r="C9" s="6">
        <v>12543</v>
      </c>
      <c r="D9" s="2">
        <v>20</v>
      </c>
      <c r="E9" s="2">
        <v>48</v>
      </c>
      <c r="F9" s="2" t="s">
        <v>20</v>
      </c>
      <c r="G9" s="2">
        <f>Tabla3[[#This Row],[Promedio]]*Tabla3[[#This Row],[Cantidad disponible]]</f>
        <v>250860</v>
      </c>
      <c r="H9" s="2" t="s">
        <v>21</v>
      </c>
    </row>
    <row r="10" spans="2:8" x14ac:dyDescent="0.3">
      <c r="B10" s="3" t="s">
        <v>9</v>
      </c>
      <c r="C10" s="6">
        <v>10777</v>
      </c>
      <c r="D10" s="2">
        <v>16</v>
      </c>
      <c r="E10" s="2">
        <v>45</v>
      </c>
      <c r="F10" s="2" t="s">
        <v>21</v>
      </c>
      <c r="G10" s="2">
        <f>Tabla3[[#This Row],[Promedio]]*Tabla3[[#This Row],[Cantidad disponible]]</f>
        <v>172432</v>
      </c>
      <c r="H10" s="2" t="s">
        <v>21</v>
      </c>
    </row>
    <row r="11" spans="2:8" x14ac:dyDescent="0.3">
      <c r="B11" s="3" t="s">
        <v>7</v>
      </c>
      <c r="C11" s="6">
        <v>9528</v>
      </c>
      <c r="D11" s="2">
        <v>20</v>
      </c>
      <c r="E11" s="2">
        <v>65</v>
      </c>
      <c r="F11" s="2" t="s">
        <v>21</v>
      </c>
      <c r="G11" s="2">
        <f>Tabla3[[#This Row],[Promedio]]*Tabla3[[#This Row],[Cantidad disponible]]</f>
        <v>190560</v>
      </c>
      <c r="H11" s="2" t="s">
        <v>21</v>
      </c>
    </row>
    <row r="12" spans="2:8" x14ac:dyDescent="0.3">
      <c r="B12" s="3" t="s">
        <v>8</v>
      </c>
      <c r="C12" s="6">
        <v>8489</v>
      </c>
      <c r="D12" s="2">
        <v>18</v>
      </c>
      <c r="E12" s="2">
        <v>61</v>
      </c>
      <c r="F12" s="2" t="s">
        <v>21</v>
      </c>
      <c r="G12" s="2">
        <f>Tabla3[[#This Row],[Promedio]]*Tabla3[[#This Row],[Cantidad disponible]]</f>
        <v>152802</v>
      </c>
      <c r="H12" s="2" t="s">
        <v>21</v>
      </c>
    </row>
    <row r="13" spans="2:8" x14ac:dyDescent="0.3">
      <c r="B13" s="3" t="s">
        <v>5</v>
      </c>
      <c r="C13" s="6">
        <v>6456</v>
      </c>
      <c r="D13" s="2">
        <v>5</v>
      </c>
      <c r="E13" s="2">
        <v>15</v>
      </c>
      <c r="F13" s="2" t="s">
        <v>21</v>
      </c>
      <c r="G13" s="2">
        <f>Tabla3[[#This Row],[Promedio]]*Tabla3[[#This Row],[Cantidad disponible]]</f>
        <v>32280</v>
      </c>
      <c r="H13" s="2" t="s">
        <v>21</v>
      </c>
    </row>
    <row r="14" spans="2:8" x14ac:dyDescent="0.3">
      <c r="B14" s="3" t="s">
        <v>17</v>
      </c>
      <c r="C14" s="6">
        <v>6220</v>
      </c>
      <c r="D14" s="2">
        <v>14</v>
      </c>
      <c r="E14" s="2">
        <v>20</v>
      </c>
      <c r="F14" s="2" t="s">
        <v>21</v>
      </c>
      <c r="G14" s="2">
        <f>Tabla3[[#This Row],[Promedio]]*Tabla3[[#This Row],[Cantidad disponible]]</f>
        <v>87080</v>
      </c>
      <c r="H14" s="2" t="s">
        <v>21</v>
      </c>
    </row>
    <row r="15" spans="2:8" x14ac:dyDescent="0.3">
      <c r="B15" s="3" t="s">
        <v>3</v>
      </c>
      <c r="C15" s="6">
        <v>5844</v>
      </c>
      <c r="D15" s="2">
        <v>6</v>
      </c>
      <c r="E15" s="2">
        <v>33</v>
      </c>
      <c r="F15" s="2" t="s">
        <v>21</v>
      </c>
      <c r="G15" s="2">
        <f>Tabla3[[#This Row],[Promedio]]*Tabla3[[#This Row],[Cantidad disponible]]</f>
        <v>35064</v>
      </c>
      <c r="H15" s="2" t="s">
        <v>21</v>
      </c>
    </row>
    <row r="16" spans="2:8" x14ac:dyDescent="0.3">
      <c r="B16" s="3" t="s">
        <v>16</v>
      </c>
      <c r="C16" s="6">
        <v>3548</v>
      </c>
      <c r="D16" s="2">
        <v>7</v>
      </c>
      <c r="E16" s="2">
        <v>25</v>
      </c>
      <c r="F16" s="2" t="s">
        <v>21</v>
      </c>
      <c r="G16" s="2">
        <f>Tabla3[[#This Row],[Promedio]]*Tabla3[[#This Row],[Cantidad disponible]]</f>
        <v>24836</v>
      </c>
      <c r="H16" s="2" t="s">
        <v>21</v>
      </c>
    </row>
    <row r="17" spans="2:8" x14ac:dyDescent="0.3">
      <c r="B17" s="3" t="s">
        <v>15</v>
      </c>
      <c r="C17" s="6">
        <v>3469</v>
      </c>
      <c r="D17" s="2">
        <v>8</v>
      </c>
      <c r="E17" s="2">
        <v>16</v>
      </c>
      <c r="F17" s="2" t="s">
        <v>21</v>
      </c>
      <c r="G17" s="2">
        <f>Tabla3[[#This Row],[Promedio]]*Tabla3[[#This Row],[Cantidad disponible]]</f>
        <v>27752</v>
      </c>
      <c r="H17" s="2" t="s">
        <v>21</v>
      </c>
    </row>
    <row r="18" spans="2:8" x14ac:dyDescent="0.3">
      <c r="B18" s="3" t="s">
        <v>11</v>
      </c>
      <c r="C18" s="6">
        <v>2090</v>
      </c>
      <c r="D18" s="2">
        <v>8</v>
      </c>
      <c r="E18" s="2">
        <v>35</v>
      </c>
      <c r="F18" s="2" t="s">
        <v>21</v>
      </c>
      <c r="G18" s="2">
        <f>Tabla3[[#This Row],[Promedio]]*Tabla3[[#This Row],[Cantidad disponible]]</f>
        <v>16720</v>
      </c>
      <c r="H18" s="2" t="s">
        <v>21</v>
      </c>
    </row>
    <row r="19" spans="2:8" x14ac:dyDescent="0.3">
      <c r="B19" s="3" t="s">
        <v>13</v>
      </c>
      <c r="C19" s="6">
        <v>1424</v>
      </c>
      <c r="D19" s="2">
        <v>7</v>
      </c>
      <c r="E19" s="2">
        <v>21</v>
      </c>
      <c r="F19" s="2" t="s">
        <v>21</v>
      </c>
      <c r="G19" s="2">
        <f>Tabla3[[#This Row],[Promedio]]*Tabla3[[#This Row],[Cantidad disponible]]</f>
        <v>9968</v>
      </c>
      <c r="H19" s="2" t="s">
        <v>21</v>
      </c>
    </row>
    <row r="20" spans="2:8" x14ac:dyDescent="0.3">
      <c r="B20" s="3">
        <f>COUNTA(Tabla3[Artículo])</f>
        <v>15</v>
      </c>
      <c r="C20" s="2"/>
      <c r="D20" s="2"/>
      <c r="E20" s="2"/>
      <c r="F20" s="2"/>
      <c r="G20" s="2">
        <f>SUBTOTAL(109,Tabla3[Valor Inventario])</f>
        <v>2443198</v>
      </c>
      <c r="H20" s="2"/>
    </row>
    <row r="21" spans="2:8" x14ac:dyDescent="0.3">
      <c r="B21" s="7" t="s">
        <v>22</v>
      </c>
      <c r="C21" s="7"/>
      <c r="E21" s="7" t="s">
        <v>22</v>
      </c>
      <c r="F21" s="7"/>
    </row>
    <row r="22" spans="2:8" x14ac:dyDescent="0.3">
      <c r="B22" s="8" t="s">
        <v>19</v>
      </c>
      <c r="C22">
        <f>(ROUND(COUNTA(Tabla3[Artículo])*0.15,0))</f>
        <v>2</v>
      </c>
      <c r="E22" t="s">
        <v>19</v>
      </c>
      <c r="F22">
        <f>Tabla3[[#Totals],[Valor Inventario]]*0.15</f>
        <v>366479.7</v>
      </c>
    </row>
    <row r="23" spans="2:8" x14ac:dyDescent="0.3">
      <c r="B23" s="4" t="s">
        <v>20</v>
      </c>
      <c r="C23">
        <f>(ROUND(COUNTA(Tabla3[Artículo])*0.2,0))</f>
        <v>3</v>
      </c>
      <c r="E23" t="s">
        <v>20</v>
      </c>
      <c r="F23">
        <f>Tabla3[[#Totals],[Valor Inventario]]*0.2</f>
        <v>488639.60000000003</v>
      </c>
    </row>
    <row r="24" spans="2:8" x14ac:dyDescent="0.3">
      <c r="B24" s="8" t="s">
        <v>21</v>
      </c>
      <c r="C24">
        <f>(ROUND(COUNTA(Tabla3[Artículo])*0.65,0))</f>
        <v>10</v>
      </c>
      <c r="E24" t="s">
        <v>21</v>
      </c>
      <c r="F24">
        <f>Tabla3[[#Totals],[Valor Inventario]]*0.65</f>
        <v>1588078.7</v>
      </c>
    </row>
    <row r="27" spans="2:8" x14ac:dyDescent="0.3">
      <c r="B27" s="5"/>
    </row>
  </sheetData>
  <mergeCells count="2">
    <mergeCell ref="B21:C21"/>
    <mergeCell ref="E21:F2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9480-97EE-449E-A0E6-397B7279FD05}">
  <dimension ref="A1"/>
  <sheetViews>
    <sheetView zoomScale="144" workbookViewId="0">
      <selection activeCell="B3" sqref="B3:B18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AntonioAguirre</dc:creator>
  <cp:lastModifiedBy>Guillermo AntonioAguirre</cp:lastModifiedBy>
  <dcterms:created xsi:type="dcterms:W3CDTF">2025-10-24T02:20:13Z</dcterms:created>
  <dcterms:modified xsi:type="dcterms:W3CDTF">2025-10-24T17:09:34Z</dcterms:modified>
</cp:coreProperties>
</file>