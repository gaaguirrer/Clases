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Gerencia de Operaciones II/Plantillas planes agregados/"/>
    </mc:Choice>
  </mc:AlternateContent>
  <xr:revisionPtr revIDLastSave="4" documentId="13_ncr:1_{EC5D32C9-8FF5-4C6B-9B7C-DABE105033E2}" xr6:coauthVersionLast="47" xr6:coauthVersionMax="47" xr10:uidLastSave="{0B2BB170-C564-4ECC-B7C3-4641388ACAF0}"/>
  <bookViews>
    <workbookView xWindow="-120" yWindow="-120" windowWidth="20730" windowHeight="11310" xr2:uid="{00000000-000D-0000-FFFF-FFFF00000000}"/>
  </bookViews>
  <sheets>
    <sheet name="PAP mdo constante - hrs ex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C16" i="1"/>
  <c r="B16" i="1"/>
  <c r="B8" i="1"/>
  <c r="B9" i="1"/>
  <c r="H7" i="1"/>
  <c r="G6" i="1"/>
  <c r="F6" i="1"/>
  <c r="E6" i="1"/>
  <c r="D6" i="1"/>
  <c r="C6" i="1"/>
  <c r="B6" i="1"/>
  <c r="H5" i="1"/>
  <c r="H6" i="1" l="1"/>
  <c r="F8" i="1" s="1"/>
  <c r="C8" i="1" l="1"/>
  <c r="E8" i="1"/>
  <c r="D8" i="1"/>
  <c r="B12" i="1"/>
  <c r="B13" i="1" s="1"/>
  <c r="G8" i="1"/>
  <c r="B10" i="1" l="1"/>
  <c r="B11" i="1" s="1"/>
  <c r="B14" i="1" l="1"/>
  <c r="C9" i="1"/>
  <c r="B15" i="1"/>
  <c r="B19" i="1"/>
  <c r="B17" i="1"/>
  <c r="C12" i="1" l="1"/>
  <c r="C13" i="1" s="1"/>
  <c r="C10" i="1"/>
  <c r="B18" i="1"/>
  <c r="B20" i="1"/>
  <c r="C11" i="1" l="1"/>
  <c r="C14" i="1"/>
  <c r="D9" i="1"/>
  <c r="B21" i="1"/>
  <c r="D12" i="1" l="1"/>
  <c r="D13" i="1" s="1"/>
  <c r="D10" i="1"/>
  <c r="D11" i="1" s="1"/>
  <c r="C15" i="1"/>
  <c r="E9" i="1" l="1"/>
  <c r="E10" i="1" s="1"/>
  <c r="D14" i="1"/>
  <c r="C19" i="1"/>
  <c r="C20" i="1" s="1"/>
  <c r="C17" i="1"/>
  <c r="C18" i="1" s="1"/>
  <c r="C21" i="1" s="1"/>
  <c r="E11" i="1" l="1"/>
  <c r="F9" i="1"/>
  <c r="F10" i="1" s="1"/>
  <c r="E14" i="1"/>
  <c r="E15" i="1" s="1"/>
  <c r="E12" i="1"/>
  <c r="E13" i="1" s="1"/>
  <c r="D15" i="1"/>
  <c r="D16" i="1"/>
  <c r="F12" i="1"/>
  <c r="F13" i="1" s="1"/>
  <c r="F11" i="1" l="1"/>
  <c r="F14" i="1"/>
  <c r="F15" i="1" s="1"/>
  <c r="G9" i="1"/>
  <c r="D17" i="1"/>
  <c r="D20" i="1"/>
  <c r="G12" i="1" l="1"/>
  <c r="G13" i="1" s="1"/>
  <c r="H13" i="1" s="1"/>
  <c r="G10" i="1"/>
  <c r="G11" i="1" s="1"/>
  <c r="H11" i="1" s="1"/>
  <c r="D18" i="1"/>
  <c r="D21" i="1" s="1"/>
  <c r="E16" i="1"/>
  <c r="G14" i="1" l="1"/>
  <c r="G15" i="1" s="1"/>
  <c r="H15" i="1" s="1"/>
  <c r="E17" i="1"/>
  <c r="E19" i="1"/>
  <c r="E20" i="1" s="1"/>
  <c r="E18" i="1" l="1"/>
  <c r="E21" i="1" s="1"/>
  <c r="F16" i="1"/>
  <c r="F17" i="1" l="1"/>
  <c r="F19" i="1"/>
  <c r="F20" i="1" s="1"/>
  <c r="G16" i="1" l="1"/>
  <c r="F18" i="1"/>
  <c r="F21" i="1" s="1"/>
  <c r="G19" i="1" l="1"/>
  <c r="H16" i="1"/>
  <c r="G17" i="1"/>
  <c r="G18" i="1" l="1"/>
  <c r="H17" i="1"/>
  <c r="G20" i="1"/>
  <c r="H20" i="1" s="1"/>
  <c r="H19" i="1"/>
  <c r="H18" i="1" l="1"/>
  <c r="G21" i="1"/>
  <c r="H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Fernando Betancourt Quintero</author>
  </authors>
  <commentList>
    <comment ref="A9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Trabajadores resultantes del mes anterior
</t>
        </r>
      </text>
    </comment>
    <comment ref="A1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Trabajadores utilizados en el mes
</t>
        </r>
      </text>
    </comment>
    <comment ref="A16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Incluye unidades en inventario del periodo anterior
</t>
        </r>
      </text>
    </comment>
    <comment ref="A26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Salarios mas prestaciones
</t>
        </r>
      </text>
    </comment>
  </commentList>
</comments>
</file>

<file path=xl/sharedStrings.xml><?xml version="1.0" encoding="utf-8"?>
<sst xmlns="http://schemas.openxmlformats.org/spreadsheetml/2006/main" count="46" uniqueCount="42">
  <si>
    <t>Plantilla Plan agregado de producción-Método fuerza de trabajo constante con horas extras</t>
  </si>
  <si>
    <t>Constant workforce + overtime</t>
  </si>
  <si>
    <t>Enero</t>
  </si>
  <si>
    <t>Febrero</t>
  </si>
  <si>
    <t>Marzo</t>
  </si>
  <si>
    <t>Abril</t>
  </si>
  <si>
    <t>Mayo</t>
  </si>
  <si>
    <t>Junio</t>
  </si>
  <si>
    <t>Total</t>
  </si>
  <si>
    <t>Días laborables</t>
  </si>
  <si>
    <t>Unidades por trabajador</t>
  </si>
  <si>
    <t>Demanda</t>
  </si>
  <si>
    <t>Trabajadores requeridos</t>
  </si>
  <si>
    <t>Trabajadores actuales</t>
  </si>
  <si>
    <t>Trabajadores contratados</t>
  </si>
  <si>
    <t>Costo trabajadores contratados</t>
  </si>
  <si>
    <t>Trabajadores despedidos</t>
  </si>
  <si>
    <t>Costo trabajadores despedidos</t>
  </si>
  <si>
    <t>Trabajadores utilizados</t>
  </si>
  <si>
    <t>Costo mano de obra</t>
  </si>
  <si>
    <t>Unidades producidas</t>
  </si>
  <si>
    <t>Inventario</t>
  </si>
  <si>
    <t>Costo de almacenar</t>
  </si>
  <si>
    <t>Horas extra</t>
  </si>
  <si>
    <t>Costo de horas extra</t>
  </si>
  <si>
    <t>Costo total</t>
  </si>
  <si>
    <t>Producción promedio por trabajador</t>
  </si>
  <si>
    <t>diario</t>
  </si>
  <si>
    <t>Trabajadores actuales iniciales</t>
  </si>
  <si>
    <t>trabajadores</t>
  </si>
  <si>
    <t>Inventario inicial</t>
  </si>
  <si>
    <t>unidades</t>
  </si>
  <si>
    <t>Costo diario de mano de obra</t>
  </si>
  <si>
    <t>Costo de hora extra</t>
  </si>
  <si>
    <t>hora</t>
  </si>
  <si>
    <t>Costo de contratar un trabajador</t>
  </si>
  <si>
    <t>empleado</t>
  </si>
  <si>
    <t>Costo de despedir un trabajador</t>
  </si>
  <si>
    <t>unidad</t>
  </si>
  <si>
    <t>Costo de faltante</t>
  </si>
  <si>
    <t>Horas jornada laboral</t>
  </si>
  <si>
    <t>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</si>
</sst>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[$$-240A]\ * #,##0_);_([$$-240A]\ * \(#,##0\);_([$$-240A]\ * &quot;-&quot;??_);_(@_)"/>
    <numFmt numFmtId="166" formatCode="_(&quot;$&quot;\ * #,##0.00_);_(&quot;$&quot;\ * \(#,##0.00\);_(&quot;$&quot;\ * &quot;-&quot;??_);_(@_)"/>
    <numFmt numFmtId="167" formatCode="_(&quot;$&quot;\ * #,##0_);_(&quot;$&quot;\ * \(#,##0\);_(&quot;$&quot;\ 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Gisha"/>
      <family val="2"/>
    </font>
    <font>
      <b/>
      <sz val="10"/>
      <color theme="0" tint="-4.9989318521683403E-2"/>
      <name val="Gisha"/>
      <family val="2"/>
    </font>
    <font>
      <sz val="9"/>
      <color theme="0" tint="-4.9989318521683403E-2"/>
      <name val="Gisha"/>
      <family val="2"/>
    </font>
    <font>
      <sz val="9"/>
      <color theme="1"/>
      <name val="Gisha"/>
      <family val="2"/>
    </font>
    <font>
      <u/>
      <sz val="11"/>
      <color theme="10"/>
      <name val="Calibri"/>
      <family val="2"/>
      <scheme val="minor"/>
    </font>
    <font>
      <b/>
      <sz val="11"/>
      <color theme="4"/>
      <name val="Arial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1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right"/>
    </xf>
    <xf numFmtId="0" fontId="0" fillId="4" borderId="1" xfId="0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165" fontId="0" fillId="4" borderId="1" xfId="1" applyNumberFormat="1" applyFont="1" applyFill="1" applyBorder="1" applyAlignment="1">
      <alignment horizontal="right"/>
    </xf>
    <xf numFmtId="167" fontId="0" fillId="4" borderId="1" xfId="2" applyNumberFormat="1" applyFont="1" applyFill="1" applyBorder="1" applyAlignment="1">
      <alignment horizontal="right"/>
    </xf>
    <xf numFmtId="165" fontId="0" fillId="4" borderId="1" xfId="0" applyNumberFormat="1" applyFill="1" applyBorder="1" applyAlignment="1">
      <alignment horizontal="right"/>
    </xf>
    <xf numFmtId="0" fontId="0" fillId="4" borderId="1" xfId="1" applyNumberFormat="1" applyFont="1" applyFill="1" applyBorder="1" applyAlignment="1">
      <alignment horizontal="right"/>
    </xf>
    <xf numFmtId="0" fontId="0" fillId="4" borderId="8" xfId="1" applyNumberFormat="1" applyFont="1" applyFill="1" applyBorder="1" applyAlignment="1">
      <alignment horizontal="right"/>
    </xf>
    <xf numFmtId="165" fontId="0" fillId="4" borderId="8" xfId="1" applyNumberFormat="1" applyFont="1" applyFill="1" applyBorder="1" applyAlignment="1">
      <alignment horizontal="right"/>
    </xf>
    <xf numFmtId="167" fontId="0" fillId="0" borderId="0" xfId="0" applyNumberFormat="1"/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2" fontId="0" fillId="0" borderId="0" xfId="0" applyNumberFormat="1"/>
    <xf numFmtId="167" fontId="5" fillId="0" borderId="1" xfId="2" applyNumberFormat="1" applyFont="1" applyBorder="1"/>
    <xf numFmtId="166" fontId="0" fillId="0" borderId="0" xfId="0" applyNumberFormat="1"/>
    <xf numFmtId="0" fontId="0" fillId="0" borderId="12" xfId="0" applyBorder="1"/>
    <xf numFmtId="0" fontId="4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5" borderId="0" xfId="3" applyFont="1" applyFill="1" applyBorder="1" applyAlignment="1">
      <alignment horizontal="center" vertical="center" wrapText="1"/>
    </xf>
    <xf numFmtId="0" fontId="7" fillId="5" borderId="12" xfId="3" applyFont="1" applyFill="1" applyBorder="1" applyAlignment="1">
      <alignment horizontal="center" vertical="center" wrapText="1"/>
    </xf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PAP</a:t>
            </a:r>
            <a:r>
              <a:rPr lang="es-CO" baseline="0"/>
              <a:t> con método de fuerza de trabajo constante + horas extras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Costo PAP mensual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'PAP mdo constante - hrs ext'!$B$21:$G$21</c:f>
              <c:numCache>
                <c:formatCode>_([$$-240A]\ * #,##0_);_([$$-240A]\ * \(#,##0\);_([$$-240A]\ * "-"??_);_(@_)</c:formatCode>
                <c:ptCount val="6"/>
                <c:pt idx="0">
                  <c:v>29470</c:v>
                </c:pt>
                <c:pt idx="1">
                  <c:v>18850</c:v>
                </c:pt>
                <c:pt idx="2">
                  <c:v>15272</c:v>
                </c:pt>
                <c:pt idx="3">
                  <c:v>15480</c:v>
                </c:pt>
                <c:pt idx="4">
                  <c:v>19030</c:v>
                </c:pt>
                <c:pt idx="5">
                  <c:v>21440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C-4124-85CB-A07CA7913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1058689216"/>
        <c:axId val="-1058688672"/>
      </c:barChart>
      <c:lineChart>
        <c:grouping val="standard"/>
        <c:varyColors val="0"/>
        <c:ser>
          <c:idx val="2"/>
          <c:order val="1"/>
          <c:tx>
            <c:strRef>
              <c:f>'PAP mdo constante - hrs ext'!$A$19</c:f>
              <c:strCache>
                <c:ptCount val="1"/>
                <c:pt idx="0">
                  <c:v>Horas extra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val>
            <c:numRef>
              <c:f>'PAP mdo constante - hrs ext'!$B$19:$G$19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9.5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7C-4124-85CB-A07CA7913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058690848"/>
        <c:axId val="-1058690304"/>
      </c:lineChart>
      <c:catAx>
        <c:axId val="-1058689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-1058688672"/>
        <c:crosses val="autoZero"/>
        <c:auto val="1"/>
        <c:lblAlgn val="ctr"/>
        <c:lblOffset val="100"/>
        <c:noMultiLvlLbl val="0"/>
      </c:catAx>
      <c:valAx>
        <c:axId val="-105868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Costo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</c:title>
        <c:numFmt formatCode="_([$$-240A]\ * #,##0_);_([$$-240A]\ * \(#,##0\);_([$$-240A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-1058689216"/>
        <c:crosses val="autoZero"/>
        <c:crossBetween val="between"/>
      </c:valAx>
      <c:valAx>
        <c:axId val="-10586903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Horas</a:t>
                </a:r>
                <a:r>
                  <a:rPr lang="es-CO" baseline="0"/>
                  <a:t> extra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-1058690848"/>
        <c:crosses val="max"/>
        <c:crossBetween val="between"/>
      </c:valAx>
      <c:catAx>
        <c:axId val="-1058690848"/>
        <c:scaling>
          <c:orientation val="minMax"/>
        </c:scaling>
        <c:delete val="1"/>
        <c:axPos val="b"/>
        <c:majorTickMark val="out"/>
        <c:minorTickMark val="none"/>
        <c:tickLblPos val="nextTo"/>
        <c:crossAx val="-1058690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3</xdr:row>
      <xdr:rowOff>38100</xdr:rowOff>
    </xdr:from>
    <xdr:to>
      <xdr:col>13</xdr:col>
      <xdr:colOff>733426</xdr:colOff>
      <xdr:row>20</xdr:row>
      <xdr:rowOff>166688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581024</xdr:colOff>
      <xdr:row>22</xdr:row>
      <xdr:rowOff>19049</xdr:rowOff>
    </xdr:from>
    <xdr:to>
      <xdr:col>6</xdr:col>
      <xdr:colOff>188174</xdr:colOff>
      <xdr:row>27</xdr:row>
      <xdr:rowOff>123824</xdr:rowOff>
    </xdr:to>
    <xdr:sp macro="" textlink="">
      <xdr:nvSpPr>
        <xdr:cNvPr id="3" name="Oval Callou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095749" y="4476749"/>
          <a:ext cx="1836000" cy="1057275"/>
        </a:xfrm>
        <a:prstGeom prst="wedgeEllipseCallout">
          <a:avLst/>
        </a:prstGeom>
        <a:solidFill>
          <a:schemeClr val="bg1">
            <a:lumMod val="75000"/>
          </a:schemeClr>
        </a:solidFill>
        <a:ln w="38100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 b="1">
              <a:solidFill>
                <a:schemeClr val="tx1"/>
              </a:solidFill>
            </a:rPr>
            <a:t>Las celdas de color </a:t>
          </a:r>
          <a:r>
            <a:rPr lang="es-CO" sz="1200" b="1">
              <a:solidFill>
                <a:schemeClr val="tx1"/>
              </a:solidFill>
            </a:rPr>
            <a:t>GRIS</a:t>
          </a:r>
          <a:r>
            <a:rPr lang="es-CO" sz="1100" b="1">
              <a:solidFill>
                <a:schemeClr val="tx1"/>
              </a:solidFill>
            </a:rPr>
            <a:t> son de cálculo automático</a:t>
          </a:r>
        </a:p>
      </xdr:txBody>
    </xdr:sp>
    <xdr:clientData/>
  </xdr:twoCellAnchor>
  <xdr:twoCellAnchor>
    <xdr:from>
      <xdr:col>7</xdr:col>
      <xdr:colOff>66674</xdr:colOff>
      <xdr:row>22</xdr:row>
      <xdr:rowOff>19049</xdr:rowOff>
    </xdr:from>
    <xdr:to>
      <xdr:col>9</xdr:col>
      <xdr:colOff>397724</xdr:colOff>
      <xdr:row>27</xdr:row>
      <xdr:rowOff>123824</xdr:rowOff>
    </xdr:to>
    <xdr:sp macro="" textlink="">
      <xdr:nvSpPr>
        <xdr:cNvPr id="4" name="Oval Callou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553199" y="4476749"/>
          <a:ext cx="1836000" cy="1057275"/>
        </a:xfrm>
        <a:prstGeom prst="wedgeEllipseCallout">
          <a:avLst/>
        </a:prstGeom>
        <a:solidFill>
          <a:schemeClr val="bg1">
            <a:lumMod val="75000"/>
          </a:schemeClr>
        </a:solidFill>
        <a:ln w="38100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 b="1">
              <a:solidFill>
                <a:schemeClr val="tx1"/>
              </a:solidFill>
            </a:rPr>
            <a:t>Las celdas de color </a:t>
          </a:r>
          <a:r>
            <a:rPr lang="es-CO" sz="1200" b="1">
              <a:solidFill>
                <a:schemeClr val="tx1"/>
              </a:solidFill>
            </a:rPr>
            <a:t>BLANCO</a:t>
          </a:r>
          <a:r>
            <a:rPr lang="es-CO" sz="1100" b="1">
              <a:solidFill>
                <a:schemeClr val="tx1"/>
              </a:solidFill>
            </a:rPr>
            <a:t> se</a:t>
          </a:r>
          <a:r>
            <a:rPr lang="es-CO" sz="1100" b="1" baseline="0">
              <a:solidFill>
                <a:schemeClr val="tx1"/>
              </a:solidFill>
            </a:rPr>
            <a:t> deben diligenciar.</a:t>
          </a:r>
          <a:endParaRPr lang="es-CO" sz="11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topLeftCell="A15" zoomScale="130" zoomScaleNormal="130" workbookViewId="0">
      <selection activeCell="H21" sqref="H21"/>
    </sheetView>
  </sheetViews>
  <sheetFormatPr baseColWidth="10" defaultColWidth="11.42578125" defaultRowHeight="15" x14ac:dyDescent="0.25"/>
  <cols>
    <col min="1" max="1" width="30.42578125" bestFit="1" customWidth="1"/>
    <col min="2" max="8" width="11.140625" customWidth="1"/>
  </cols>
  <sheetData>
    <row r="1" spans="1:14" ht="25.5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/>
      <c r="M1" s="23"/>
      <c r="N1" s="23"/>
    </row>
    <row r="2" spans="1:14" ht="25.5" customHeight="1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3"/>
      <c r="M2" s="23"/>
      <c r="N2" s="23"/>
    </row>
    <row r="4" spans="1:14" x14ac:dyDescent="0.2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3" t="s">
        <v>8</v>
      </c>
      <c r="I4" s="24"/>
      <c r="J4" s="25"/>
      <c r="K4" s="25"/>
      <c r="L4" s="25"/>
      <c r="M4" s="25"/>
      <c r="N4" s="26"/>
    </row>
    <row r="5" spans="1:14" x14ac:dyDescent="0.25">
      <c r="A5" s="4" t="s">
        <v>9</v>
      </c>
      <c r="B5" s="5">
        <v>22</v>
      </c>
      <c r="C5" s="5">
        <v>19</v>
      </c>
      <c r="D5" s="5">
        <v>21</v>
      </c>
      <c r="E5" s="5">
        <v>21</v>
      </c>
      <c r="F5" s="5">
        <v>22</v>
      </c>
      <c r="G5" s="5">
        <v>20</v>
      </c>
      <c r="H5" s="6">
        <f>SUM(B5:G5)</f>
        <v>125</v>
      </c>
      <c r="I5" s="27"/>
      <c r="J5" s="28"/>
      <c r="K5" s="28"/>
      <c r="L5" s="28"/>
      <c r="M5" s="28"/>
      <c r="N5" s="29"/>
    </row>
    <row r="6" spans="1:14" x14ac:dyDescent="0.25">
      <c r="A6" s="4" t="s">
        <v>10</v>
      </c>
      <c r="B6" s="6">
        <f t="shared" ref="B6:G6" si="0">B5*$B$23</f>
        <v>440</v>
      </c>
      <c r="C6" s="6">
        <f t="shared" si="0"/>
        <v>380</v>
      </c>
      <c r="D6" s="6">
        <f t="shared" si="0"/>
        <v>420</v>
      </c>
      <c r="E6" s="6">
        <f t="shared" si="0"/>
        <v>420</v>
      </c>
      <c r="F6" s="6">
        <f t="shared" si="0"/>
        <v>440</v>
      </c>
      <c r="G6" s="6">
        <f t="shared" si="0"/>
        <v>400</v>
      </c>
      <c r="H6" s="6">
        <f t="shared" ref="H6:H21" si="1">SUM(B6:G6)</f>
        <v>2500</v>
      </c>
      <c r="I6" s="27"/>
      <c r="J6" s="28"/>
      <c r="K6" s="28"/>
      <c r="L6" s="28"/>
      <c r="M6" s="28"/>
      <c r="N6" s="29"/>
    </row>
    <row r="7" spans="1:14" x14ac:dyDescent="0.25">
      <c r="A7" s="4" t="s">
        <v>11</v>
      </c>
      <c r="B7" s="5">
        <v>2390</v>
      </c>
      <c r="C7" s="5">
        <v>3700</v>
      </c>
      <c r="D7" s="5">
        <v>4020</v>
      </c>
      <c r="E7" s="5">
        <v>3810</v>
      </c>
      <c r="F7" s="5">
        <v>3230</v>
      </c>
      <c r="G7" s="5">
        <v>2850</v>
      </c>
      <c r="H7" s="6">
        <f t="shared" si="1"/>
        <v>20000</v>
      </c>
      <c r="I7" s="27"/>
      <c r="J7" s="28"/>
      <c r="K7" s="28"/>
      <c r="L7" s="28"/>
      <c r="M7" s="28"/>
      <c r="N7" s="29"/>
    </row>
    <row r="8" spans="1:14" x14ac:dyDescent="0.25">
      <c r="A8" s="4" t="s">
        <v>12</v>
      </c>
      <c r="B8" s="7">
        <f>$H$7/$H$6</f>
        <v>8</v>
      </c>
      <c r="C8" s="7">
        <f t="shared" ref="C8:G8" si="2">$H$7/$H$6</f>
        <v>8</v>
      </c>
      <c r="D8" s="7">
        <f t="shared" si="2"/>
        <v>8</v>
      </c>
      <c r="E8" s="7">
        <f t="shared" si="2"/>
        <v>8</v>
      </c>
      <c r="F8" s="7">
        <f t="shared" si="2"/>
        <v>8</v>
      </c>
      <c r="G8" s="7">
        <f t="shared" si="2"/>
        <v>8</v>
      </c>
      <c r="H8" s="6"/>
      <c r="I8" s="27"/>
      <c r="J8" s="28"/>
      <c r="K8" s="28"/>
      <c r="L8" s="28"/>
      <c r="M8" s="28"/>
      <c r="N8" s="29"/>
    </row>
    <row r="9" spans="1:14" x14ac:dyDescent="0.25">
      <c r="A9" s="4" t="s">
        <v>13</v>
      </c>
      <c r="B9" s="6">
        <f>B24</f>
        <v>5</v>
      </c>
      <c r="C9" s="7">
        <f>IF(B8&gt;=B9,B9+B10,IF(B9&gt;=B8,B9-B12,""))</f>
        <v>8</v>
      </c>
      <c r="D9" s="7">
        <f t="shared" ref="D9:F9" si="3">IF(C8&gt;=C9,C9+C10,IF(C9&gt;=C8,C9-C12,""))</f>
        <v>8</v>
      </c>
      <c r="E9" s="7">
        <f t="shared" si="3"/>
        <v>8</v>
      </c>
      <c r="F9" s="7">
        <f t="shared" si="3"/>
        <v>8</v>
      </c>
      <c r="G9" s="7">
        <f>IF(F8&gt;=F9,F9+F10,IF(F9&gt;=F8,F9-F12,""))</f>
        <v>8</v>
      </c>
      <c r="H9" s="6"/>
      <c r="I9" s="27"/>
      <c r="J9" s="28"/>
      <c r="K9" s="28"/>
      <c r="L9" s="28"/>
      <c r="M9" s="28"/>
      <c r="N9" s="29"/>
    </row>
    <row r="10" spans="1:14" x14ac:dyDescent="0.25">
      <c r="A10" s="4" t="s">
        <v>14</v>
      </c>
      <c r="B10" s="7">
        <f>IF(B8&gt;=B9,B8-B9,0)</f>
        <v>3</v>
      </c>
      <c r="C10" s="7">
        <f t="shared" ref="C10:D10" si="4">IF(C8&gt;=C9,C8-C9,0)</f>
        <v>0</v>
      </c>
      <c r="D10" s="7">
        <f t="shared" si="4"/>
        <v>0</v>
      </c>
      <c r="E10" s="7">
        <f>IF(E8&gt;=E9,E8-E9,0)</f>
        <v>0</v>
      </c>
      <c r="F10" s="7">
        <f t="shared" ref="F10:G10" si="5">IF(F8&gt;=F9,F8-F9,0)</f>
        <v>0</v>
      </c>
      <c r="G10" s="7">
        <f t="shared" si="5"/>
        <v>0</v>
      </c>
      <c r="H10" s="6"/>
      <c r="I10" s="27"/>
      <c r="J10" s="28"/>
      <c r="K10" s="28"/>
      <c r="L10" s="28"/>
      <c r="M10" s="28"/>
      <c r="N10" s="29"/>
    </row>
    <row r="11" spans="1:14" x14ac:dyDescent="0.25">
      <c r="A11" s="4" t="s">
        <v>15</v>
      </c>
      <c r="B11" s="8">
        <f t="shared" ref="B11:G11" si="6">B10*$B$28</f>
        <v>1200</v>
      </c>
      <c r="C11" s="8">
        <f t="shared" si="6"/>
        <v>0</v>
      </c>
      <c r="D11" s="8">
        <f t="shared" si="6"/>
        <v>0</v>
      </c>
      <c r="E11" s="8">
        <f t="shared" si="6"/>
        <v>0</v>
      </c>
      <c r="F11" s="8">
        <f t="shared" si="6"/>
        <v>0</v>
      </c>
      <c r="G11" s="8">
        <f t="shared" si="6"/>
        <v>0</v>
      </c>
      <c r="H11" s="9">
        <f t="shared" si="1"/>
        <v>1200</v>
      </c>
      <c r="I11" s="27"/>
      <c r="J11" s="28"/>
      <c r="K11" s="28"/>
      <c r="L11" s="28"/>
      <c r="M11" s="28"/>
      <c r="N11" s="29"/>
    </row>
    <row r="12" spans="1:14" x14ac:dyDescent="0.25">
      <c r="A12" s="4" t="s">
        <v>16</v>
      </c>
      <c r="B12" s="7">
        <f t="shared" ref="B12:G12" si="7">IF(B9&gt;=B8,B9-B8,0)</f>
        <v>0</v>
      </c>
      <c r="C12" s="7">
        <f t="shared" si="7"/>
        <v>0</v>
      </c>
      <c r="D12" s="7">
        <f t="shared" si="7"/>
        <v>0</v>
      </c>
      <c r="E12" s="7">
        <f t="shared" si="7"/>
        <v>0</v>
      </c>
      <c r="F12" s="7">
        <f t="shared" si="7"/>
        <v>0</v>
      </c>
      <c r="G12" s="7">
        <f t="shared" si="7"/>
        <v>0</v>
      </c>
      <c r="H12" s="6"/>
      <c r="I12" s="27"/>
      <c r="J12" s="28"/>
      <c r="K12" s="28"/>
      <c r="L12" s="28"/>
      <c r="M12" s="28"/>
      <c r="N12" s="29"/>
    </row>
    <row r="13" spans="1:14" x14ac:dyDescent="0.25">
      <c r="A13" s="4" t="s">
        <v>17</v>
      </c>
      <c r="B13" s="10">
        <f t="shared" ref="B13:G13" si="8">B12*$B$29</f>
        <v>0</v>
      </c>
      <c r="C13" s="10">
        <f t="shared" si="8"/>
        <v>0</v>
      </c>
      <c r="D13" s="10">
        <f t="shared" si="8"/>
        <v>0</v>
      </c>
      <c r="E13" s="10">
        <f t="shared" si="8"/>
        <v>0</v>
      </c>
      <c r="F13" s="10">
        <f t="shared" si="8"/>
        <v>0</v>
      </c>
      <c r="G13" s="10">
        <f t="shared" si="8"/>
        <v>0</v>
      </c>
      <c r="H13" s="9">
        <f t="shared" si="1"/>
        <v>0</v>
      </c>
      <c r="I13" s="27"/>
      <c r="J13" s="28"/>
      <c r="K13" s="28"/>
      <c r="L13" s="28"/>
      <c r="M13" s="28"/>
      <c r="N13" s="29"/>
    </row>
    <row r="14" spans="1:14" x14ac:dyDescent="0.25">
      <c r="A14" s="4" t="s">
        <v>18</v>
      </c>
      <c r="B14" s="6">
        <f>IF(B8&gt;=B9,B9+B10,IF(B9&gt;=B8,B9-B12,""))</f>
        <v>8</v>
      </c>
      <c r="C14" s="6">
        <f t="shared" ref="C14:G14" si="9">IF(C8&gt;=C9,C9+C10,IF(C9&gt;=C8,C9-C12,""))</f>
        <v>8</v>
      </c>
      <c r="D14" s="6">
        <f t="shared" si="9"/>
        <v>8</v>
      </c>
      <c r="E14" s="6">
        <f t="shared" si="9"/>
        <v>8</v>
      </c>
      <c r="F14" s="6">
        <f t="shared" si="9"/>
        <v>8</v>
      </c>
      <c r="G14" s="6">
        <f t="shared" si="9"/>
        <v>8</v>
      </c>
      <c r="H14" s="6"/>
      <c r="I14" s="27"/>
      <c r="J14" s="28"/>
      <c r="K14" s="28"/>
      <c r="L14" s="28"/>
      <c r="M14" s="28"/>
      <c r="N14" s="29"/>
    </row>
    <row r="15" spans="1:14" x14ac:dyDescent="0.25">
      <c r="A15" s="4" t="s">
        <v>19</v>
      </c>
      <c r="B15" s="8">
        <f t="shared" ref="B15:G15" si="10">$B$26*B5*B14</f>
        <v>15840</v>
      </c>
      <c r="C15" s="8">
        <f t="shared" si="10"/>
        <v>13680</v>
      </c>
      <c r="D15" s="8">
        <f t="shared" si="10"/>
        <v>15120</v>
      </c>
      <c r="E15" s="8">
        <f t="shared" si="10"/>
        <v>15120</v>
      </c>
      <c r="F15" s="8">
        <f t="shared" si="10"/>
        <v>15840</v>
      </c>
      <c r="G15" s="8">
        <f t="shared" si="10"/>
        <v>14400</v>
      </c>
      <c r="H15" s="9">
        <f t="shared" si="1"/>
        <v>90000</v>
      </c>
      <c r="I15" s="27"/>
      <c r="J15" s="28"/>
      <c r="K15" s="28"/>
      <c r="L15" s="28"/>
      <c r="M15" s="28"/>
      <c r="N15" s="29"/>
    </row>
    <row r="16" spans="1:14" x14ac:dyDescent="0.25">
      <c r="A16" s="4" t="s">
        <v>20</v>
      </c>
      <c r="B16" s="11">
        <f>(B14*B6)+B25</f>
        <v>3520</v>
      </c>
      <c r="C16" s="11">
        <f>(C14*C6)+B17</f>
        <v>4170</v>
      </c>
      <c r="D16" s="11">
        <f t="shared" ref="D16:G16" si="11">(D14*D6)+C17</f>
        <v>3830</v>
      </c>
      <c r="E16" s="11">
        <f t="shared" si="11"/>
        <v>3360</v>
      </c>
      <c r="F16" s="11">
        <f t="shared" si="11"/>
        <v>3520</v>
      </c>
      <c r="G16" s="11">
        <f t="shared" si="11"/>
        <v>3490</v>
      </c>
      <c r="H16" s="6">
        <f t="shared" si="1"/>
        <v>21890</v>
      </c>
      <c r="I16" s="27"/>
      <c r="J16" s="28"/>
      <c r="K16" s="28"/>
      <c r="L16" s="28"/>
      <c r="M16" s="28"/>
      <c r="N16" s="29"/>
    </row>
    <row r="17" spans="1:14" x14ac:dyDescent="0.25">
      <c r="A17" s="4" t="s">
        <v>21</v>
      </c>
      <c r="B17" s="6">
        <f>IF(B7&gt;=(B16),0,B16-B7)</f>
        <v>1130</v>
      </c>
      <c r="C17" s="6">
        <f>IF(C7&gt;=C16,0,C16-C7)</f>
        <v>470</v>
      </c>
      <c r="D17" s="6">
        <f t="shared" ref="D17:G17" si="12">IF(D7&gt;=D16,0,D16-D7)</f>
        <v>0</v>
      </c>
      <c r="E17" s="6">
        <f t="shared" si="12"/>
        <v>0</v>
      </c>
      <c r="F17" s="6">
        <f t="shared" si="12"/>
        <v>290</v>
      </c>
      <c r="G17" s="6">
        <f t="shared" si="12"/>
        <v>640</v>
      </c>
      <c r="H17" s="6">
        <f t="shared" si="1"/>
        <v>2530</v>
      </c>
      <c r="I17" s="27"/>
      <c r="J17" s="28"/>
      <c r="K17" s="28"/>
      <c r="L17" s="28"/>
      <c r="M17" s="28"/>
      <c r="N17" s="29"/>
    </row>
    <row r="18" spans="1:14" x14ac:dyDescent="0.25">
      <c r="A18" s="4" t="s">
        <v>22</v>
      </c>
      <c r="B18" s="8">
        <f t="shared" ref="B18:G18" si="13">$B$30*B17</f>
        <v>12430</v>
      </c>
      <c r="C18" s="8">
        <f t="shared" si="13"/>
        <v>5170</v>
      </c>
      <c r="D18" s="8">
        <f t="shared" si="13"/>
        <v>0</v>
      </c>
      <c r="E18" s="8">
        <f t="shared" si="13"/>
        <v>0</v>
      </c>
      <c r="F18" s="8">
        <f t="shared" si="13"/>
        <v>3190</v>
      </c>
      <c r="G18" s="8">
        <f t="shared" si="13"/>
        <v>7040</v>
      </c>
      <c r="H18" s="8">
        <f t="shared" si="1"/>
        <v>27830</v>
      </c>
      <c r="I18" s="27"/>
      <c r="J18" s="28"/>
      <c r="K18" s="28"/>
      <c r="L18" s="28"/>
      <c r="M18" s="28"/>
      <c r="N18" s="29"/>
    </row>
    <row r="19" spans="1:14" x14ac:dyDescent="0.25">
      <c r="A19" s="4" t="s">
        <v>23</v>
      </c>
      <c r="B19" s="12">
        <f t="shared" ref="B19:G19" si="14">IF(B7&gt;B16,(B7-B16)/(($B$23*B14)/$B$32),0)</f>
        <v>0</v>
      </c>
      <c r="C19" s="12">
        <f t="shared" si="14"/>
        <v>0</v>
      </c>
      <c r="D19" s="12">
        <f>IF(D7&gt;D16,(D7-D16)/(($B$23*D14)/$B$32),0)</f>
        <v>9.5</v>
      </c>
      <c r="E19" s="12">
        <f>IF(E7&gt;E16,(E7-E16)/(($B$23*E14)/$B$32),0)</f>
        <v>22.5</v>
      </c>
      <c r="F19" s="12">
        <f t="shared" si="14"/>
        <v>0</v>
      </c>
      <c r="G19" s="12">
        <f t="shared" si="14"/>
        <v>0</v>
      </c>
      <c r="H19" s="11">
        <f>SUM(B19:G19)</f>
        <v>32</v>
      </c>
      <c r="I19" s="27"/>
      <c r="J19" s="28"/>
      <c r="K19" s="28"/>
      <c r="L19" s="28"/>
      <c r="M19" s="28"/>
      <c r="N19" s="29"/>
    </row>
    <row r="20" spans="1:14" x14ac:dyDescent="0.25">
      <c r="A20" s="4" t="s">
        <v>24</v>
      </c>
      <c r="B20" s="13">
        <f>B19*$B$27</f>
        <v>0</v>
      </c>
      <c r="C20" s="13">
        <f t="shared" ref="C20:G20" si="15">C19*$B$27</f>
        <v>0</v>
      </c>
      <c r="D20" s="13">
        <f t="shared" si="15"/>
        <v>152</v>
      </c>
      <c r="E20" s="13">
        <f t="shared" si="15"/>
        <v>360</v>
      </c>
      <c r="F20" s="13">
        <f t="shared" si="15"/>
        <v>0</v>
      </c>
      <c r="G20" s="13">
        <f t="shared" si="15"/>
        <v>0</v>
      </c>
      <c r="H20" s="8">
        <f>SUM(B20:G20)</f>
        <v>512</v>
      </c>
      <c r="I20" s="27"/>
      <c r="J20" s="28"/>
      <c r="K20" s="28"/>
      <c r="L20" s="28"/>
      <c r="M20" s="28"/>
      <c r="N20" s="29"/>
    </row>
    <row r="21" spans="1:14" x14ac:dyDescent="0.25">
      <c r="A21" s="4" t="s">
        <v>25</v>
      </c>
      <c r="B21" s="8">
        <f t="shared" ref="B21:G21" si="16">B11+B13+B15+B18+B20</f>
        <v>29470</v>
      </c>
      <c r="C21" s="8">
        <f t="shared" si="16"/>
        <v>18850</v>
      </c>
      <c r="D21" s="8">
        <f t="shared" si="16"/>
        <v>15272</v>
      </c>
      <c r="E21" s="8">
        <f t="shared" si="16"/>
        <v>15480</v>
      </c>
      <c r="F21" s="8">
        <f t="shared" si="16"/>
        <v>19030</v>
      </c>
      <c r="G21" s="8">
        <f t="shared" si="16"/>
        <v>21440</v>
      </c>
      <c r="H21" s="8">
        <f t="shared" si="1"/>
        <v>119542</v>
      </c>
      <c r="I21" s="30"/>
      <c r="J21" s="31"/>
      <c r="K21" s="31"/>
      <c r="L21" s="31"/>
      <c r="M21" s="31"/>
      <c r="N21" s="32"/>
    </row>
    <row r="22" spans="1:14" x14ac:dyDescent="0.25">
      <c r="D22" s="14"/>
      <c r="E22" s="14"/>
      <c r="G22" s="14"/>
    </row>
    <row r="23" spans="1:14" ht="15" customHeight="1" x14ac:dyDescent="0.25">
      <c r="A23" s="15" t="s">
        <v>26</v>
      </c>
      <c r="B23" s="16">
        <v>20</v>
      </c>
      <c r="C23" s="16" t="s">
        <v>27</v>
      </c>
      <c r="F23" s="1"/>
      <c r="G23" s="1"/>
    </row>
    <row r="24" spans="1:14" x14ac:dyDescent="0.25">
      <c r="A24" s="15" t="s">
        <v>28</v>
      </c>
      <c r="B24" s="16">
        <v>5</v>
      </c>
      <c r="C24" s="16" t="s">
        <v>29</v>
      </c>
      <c r="E24" s="17"/>
    </row>
    <row r="25" spans="1:14" x14ac:dyDescent="0.25">
      <c r="A25" s="15" t="s">
        <v>30</v>
      </c>
      <c r="B25" s="16">
        <v>0</v>
      </c>
      <c r="C25" s="16" t="s">
        <v>31</v>
      </c>
    </row>
    <row r="26" spans="1:14" x14ac:dyDescent="0.25">
      <c r="A26" s="15" t="s">
        <v>32</v>
      </c>
      <c r="B26" s="18">
        <v>90</v>
      </c>
      <c r="C26" s="16" t="s">
        <v>27</v>
      </c>
      <c r="D26" s="19"/>
    </row>
    <row r="27" spans="1:14" x14ac:dyDescent="0.25">
      <c r="A27" s="15" t="s">
        <v>33</v>
      </c>
      <c r="B27" s="18">
        <v>16</v>
      </c>
      <c r="C27" s="16" t="s">
        <v>34</v>
      </c>
      <c r="D27" s="19"/>
    </row>
    <row r="28" spans="1:14" x14ac:dyDescent="0.25">
      <c r="A28" s="15" t="s">
        <v>35</v>
      </c>
      <c r="B28" s="18">
        <v>400</v>
      </c>
      <c r="C28" s="16" t="s">
        <v>36</v>
      </c>
    </row>
    <row r="29" spans="1:14" ht="15.75" thickBot="1" x14ac:dyDescent="0.3">
      <c r="A29" s="15" t="s">
        <v>37</v>
      </c>
      <c r="B29" s="18">
        <v>700</v>
      </c>
      <c r="C29" s="16" t="s">
        <v>36</v>
      </c>
      <c r="E29" s="20"/>
      <c r="F29" s="20"/>
      <c r="G29" s="20"/>
      <c r="H29" s="20"/>
      <c r="I29" s="20"/>
    </row>
    <row r="30" spans="1:14" ht="15.75" thickTop="1" x14ac:dyDescent="0.25">
      <c r="A30" s="15" t="s">
        <v>22</v>
      </c>
      <c r="B30" s="18">
        <v>11</v>
      </c>
      <c r="C30" s="16" t="s">
        <v>38</v>
      </c>
      <c r="E30" s="33"/>
      <c r="F30" s="33"/>
      <c r="G30" s="33"/>
      <c r="H30" s="33"/>
      <c r="I30" s="33"/>
    </row>
    <row r="31" spans="1:14" ht="15" customHeight="1" x14ac:dyDescent="0.25">
      <c r="A31" s="15" t="s">
        <v>39</v>
      </c>
      <c r="B31" s="18">
        <v>32</v>
      </c>
      <c r="C31" s="16" t="s">
        <v>38</v>
      </c>
      <c r="E31" s="33"/>
      <c r="F31" s="33"/>
      <c r="G31" s="33"/>
      <c r="H31" s="33"/>
      <c r="I31" s="33"/>
    </row>
    <row r="32" spans="1:14" ht="15.75" thickBot="1" x14ac:dyDescent="0.3">
      <c r="A32" s="21" t="s">
        <v>40</v>
      </c>
      <c r="B32" s="16">
        <v>8</v>
      </c>
      <c r="C32" s="16" t="s">
        <v>41</v>
      </c>
      <c r="E32" s="34"/>
      <c r="F32" s="34"/>
      <c r="G32" s="34"/>
      <c r="H32" s="34"/>
      <c r="I32" s="34"/>
    </row>
    <row r="33" ht="15.75" thickTop="1" x14ac:dyDescent="0.25"/>
  </sheetData>
  <mergeCells count="5">
    <mergeCell ref="A1:K1"/>
    <mergeCell ref="L1:N2"/>
    <mergeCell ref="A2:K2"/>
    <mergeCell ref="I4:N21"/>
    <mergeCell ref="E30:I32"/>
  </mergeCells>
  <pageMargins left="0.7" right="0.7" top="0.75" bottom="0.75" header="0.3" footer="0.3"/>
  <pageSetup scale="51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PAP mdo constante - hrs 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Ingenio Empresa</dc:creator>
  <cp:lastModifiedBy>Guillermo Aguirre</cp:lastModifiedBy>
  <dcterms:created xsi:type="dcterms:W3CDTF">2016-05-22T19:57:29Z</dcterms:created>
  <dcterms:modified xsi:type="dcterms:W3CDTF">2023-05-20T22:26:22Z</dcterms:modified>
</cp:coreProperties>
</file>