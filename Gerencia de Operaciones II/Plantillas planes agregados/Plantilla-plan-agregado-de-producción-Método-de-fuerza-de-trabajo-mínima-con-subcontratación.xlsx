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Plantillas planes agregados/"/>
    </mc:Choice>
  </mc:AlternateContent>
  <xr:revisionPtr revIDLastSave="4" documentId="13_ncr:1_{9F642E7C-E1EA-47D1-A938-EEECF456126B}" xr6:coauthVersionLast="47" xr6:coauthVersionMax="47" xr10:uidLastSave="{B8C6254B-1178-450E-B9F1-AA80EE591576}"/>
  <bookViews>
    <workbookView xWindow="-108" yWindow="-108" windowWidth="23256" windowHeight="12456" xr2:uid="{00000000-000D-0000-FFFF-FFFF00000000}"/>
  </bookViews>
  <sheets>
    <sheet name="PAP mdo baja con subc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9" i="1"/>
  <c r="G8" i="1"/>
  <c r="F8" i="1"/>
  <c r="E8" i="1"/>
  <c r="D8" i="1"/>
  <c r="C8" i="1"/>
  <c r="H7" i="1"/>
  <c r="G6" i="1"/>
  <c r="F6" i="1"/>
  <c r="E6" i="1"/>
  <c r="D6" i="1"/>
  <c r="C6" i="1"/>
  <c r="H5" i="1"/>
  <c r="B10" i="1" l="1"/>
  <c r="C9" i="1" s="1"/>
  <c r="C12" i="1" s="1"/>
  <c r="C13" i="1" s="1"/>
  <c r="B12" i="1"/>
  <c r="B13" i="1" s="1"/>
  <c r="H6" i="1"/>
  <c r="B11" i="1"/>
  <c r="B14" i="1" l="1"/>
  <c r="B16" i="1" s="1"/>
  <c r="B19" i="1" s="1"/>
  <c r="C10" i="1"/>
  <c r="C11" i="1" s="1"/>
  <c r="B15" i="1" l="1"/>
  <c r="D9" i="1"/>
  <c r="D10" i="1" s="1"/>
  <c r="D11" i="1" s="1"/>
  <c r="C14" i="1"/>
  <c r="B17" i="1"/>
  <c r="C15" i="1" l="1"/>
  <c r="C16" i="1"/>
  <c r="D12" i="1"/>
  <c r="D13" i="1" s="1"/>
  <c r="D14" i="1"/>
  <c r="B20" i="1"/>
  <c r="B18" i="1"/>
  <c r="E9" i="1"/>
  <c r="D15" i="1"/>
  <c r="C17" i="1" l="1"/>
  <c r="C19" i="1"/>
  <c r="E12" i="1"/>
  <c r="E13" i="1" s="1"/>
  <c r="E10" i="1"/>
  <c r="E11" i="1" s="1"/>
  <c r="B21" i="1"/>
  <c r="E14" i="1" l="1"/>
  <c r="C20" i="1"/>
  <c r="F9" i="1"/>
  <c r="C18" i="1"/>
  <c r="D16" i="1"/>
  <c r="D17" i="1" l="1"/>
  <c r="E16" i="1" s="1"/>
  <c r="D19" i="1"/>
  <c r="F12" i="1"/>
  <c r="F13" i="1" s="1"/>
  <c r="F10" i="1"/>
  <c r="F11" i="1" s="1"/>
  <c r="E15" i="1"/>
  <c r="C21" i="1"/>
  <c r="G9" i="1" l="1"/>
  <c r="G12" i="1" s="1"/>
  <c r="G13" i="1" s="1"/>
  <c r="H13" i="1" s="1"/>
  <c r="F14" i="1"/>
  <c r="D20" i="1"/>
  <c r="G10" i="1"/>
  <c r="G11" i="1" s="1"/>
  <c r="E19" i="1"/>
  <c r="E20" i="1" s="1"/>
  <c r="E17" i="1"/>
  <c r="E18" i="1" s="1"/>
  <c r="D18" i="1"/>
  <c r="E21" i="1" l="1"/>
  <c r="D21" i="1"/>
  <c r="G14" i="1"/>
  <c r="F15" i="1"/>
  <c r="F16" i="1"/>
  <c r="H11" i="1"/>
  <c r="F19" i="1" l="1"/>
  <c r="F17" i="1"/>
  <c r="G16" i="1" s="1"/>
  <c r="G15" i="1"/>
  <c r="H15" i="1" s="1"/>
  <c r="G17" i="1" l="1"/>
  <c r="G18" i="1" s="1"/>
  <c r="G19" i="1"/>
  <c r="G20" i="1" s="1"/>
  <c r="H16" i="1"/>
  <c r="F18" i="1"/>
  <c r="H17" i="1"/>
  <c r="F20" i="1"/>
  <c r="H19" i="1" l="1"/>
  <c r="G21" i="1"/>
  <c r="H20" i="1"/>
  <c r="H18" i="1"/>
  <c r="F21" i="1"/>
  <c r="H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Fernando Betancourt Quintero</author>
  </authors>
  <commentList>
    <comment ref="A9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Trabajadores resultantes del mes anterior
</t>
        </r>
      </text>
    </comment>
    <comment ref="A1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Trabajadores utilizados en el mes
</t>
        </r>
      </text>
    </comment>
    <comment ref="A16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Incluye unidades en inventario del periodo anterior
</t>
        </r>
      </text>
    </comment>
    <comment ref="A26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Salarios mas prestaciones
</t>
        </r>
      </text>
    </comment>
  </commentList>
</comments>
</file>

<file path=xl/sharedStrings.xml><?xml version="1.0" encoding="utf-8"?>
<sst xmlns="http://schemas.openxmlformats.org/spreadsheetml/2006/main" count="44" uniqueCount="40">
  <si>
    <t>Plantilla Plan agregado de producción-Método fuerza de trabajo mínima con subcontratación</t>
  </si>
  <si>
    <t>Minimum Production Workforce + Subcontracting</t>
  </si>
  <si>
    <t>Enero</t>
  </si>
  <si>
    <t>Febrero</t>
  </si>
  <si>
    <t>Marzo</t>
  </si>
  <si>
    <t>Abril</t>
  </si>
  <si>
    <t>Mayo</t>
  </si>
  <si>
    <t>Junio</t>
  </si>
  <si>
    <t>Total</t>
  </si>
  <si>
    <t>Días laborables</t>
  </si>
  <si>
    <t>Unidades por trabajador</t>
  </si>
  <si>
    <t>Demanda</t>
  </si>
  <si>
    <t>Trabajadores requeridos</t>
  </si>
  <si>
    <t>Trabajadores actuales</t>
  </si>
  <si>
    <t>Trabajadores contratados</t>
  </si>
  <si>
    <t>Costo trabajadores contratados</t>
  </si>
  <si>
    <t>Trabajadores despedidos</t>
  </si>
  <si>
    <t>Costo trabajadores despedidos</t>
  </si>
  <si>
    <t>Trabajadores utilizados</t>
  </si>
  <si>
    <t>Costo mano de obra</t>
  </si>
  <si>
    <t>Unidades producidas</t>
  </si>
  <si>
    <t>Inventario</t>
  </si>
  <si>
    <t>Costo de almacenar</t>
  </si>
  <si>
    <t>Unidades a subcontratar</t>
  </si>
  <si>
    <t>Costo por subcontratación</t>
  </si>
  <si>
    <t>Costo total</t>
  </si>
  <si>
    <t>Producción promedio por trabajador</t>
  </si>
  <si>
    <t>diario</t>
  </si>
  <si>
    <t>Trabajadores actuales iniciales</t>
  </si>
  <si>
    <t>trabajadores</t>
  </si>
  <si>
    <t>Inventario inicial</t>
  </si>
  <si>
    <t>unidades</t>
  </si>
  <si>
    <t>Costo diario de mano de obra</t>
  </si>
  <si>
    <t>Costo de contratar un trabajador</t>
  </si>
  <si>
    <t>empleado</t>
  </si>
  <si>
    <t>Costo de despedir un trabajador</t>
  </si>
  <si>
    <t>unidad</t>
  </si>
  <si>
    <t>Costo de subcontratacion</t>
  </si>
  <si>
    <t>Horas jornada laboral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</si>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</sst>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[$$-240A]\ * #,##0_);_([$$-240A]\ * \(#,##0\);_([$$-240A]\ * &quot;-&quot;??_);_(@_)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Gisha"/>
      <family val="2"/>
    </font>
    <font>
      <b/>
      <sz val="10"/>
      <color theme="0" tint="-4.9989318521683403E-2"/>
      <name val="Gisha"/>
      <family val="2"/>
    </font>
    <font>
      <sz val="9"/>
      <color theme="0" tint="-4.9989318521683403E-2"/>
      <name val="Gisha"/>
      <family val="2"/>
    </font>
    <font>
      <sz val="9"/>
      <color theme="1"/>
      <name val="Gisha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65" fontId="0" fillId="4" borderId="1" xfId="1" applyNumberFormat="1" applyFont="1" applyFill="1" applyBorder="1" applyAlignment="1">
      <alignment horizontal="right"/>
    </xf>
    <xf numFmtId="167" fontId="0" fillId="4" borderId="1" xfId="2" applyNumberFormat="1" applyFont="1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0" fillId="4" borderId="1" xfId="1" applyNumberFormat="1" applyFont="1" applyFill="1" applyBorder="1" applyAlignment="1">
      <alignment horizontal="right"/>
    </xf>
    <xf numFmtId="0" fontId="0" fillId="4" borderId="8" xfId="1" applyNumberFormat="1" applyFont="1" applyFill="1" applyBorder="1" applyAlignment="1">
      <alignment horizontal="right"/>
    </xf>
    <xf numFmtId="165" fontId="0" fillId="4" borderId="8" xfId="1" applyNumberFormat="1" applyFont="1" applyFill="1" applyBorder="1" applyAlignment="1">
      <alignment horizontal="right"/>
    </xf>
    <xf numFmtId="167" fontId="0" fillId="0" borderId="0" xfId="0" applyNumberFormat="1"/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1" fontId="0" fillId="0" borderId="0" xfId="0" applyNumberFormat="1"/>
    <xf numFmtId="2" fontId="0" fillId="0" borderId="0" xfId="0" applyNumberFormat="1"/>
    <xf numFmtId="167" fontId="5" fillId="0" borderId="1" xfId="2" applyNumberFormat="1" applyFont="1" applyBorder="1"/>
    <xf numFmtId="0" fontId="0" fillId="0" borderId="12" xfId="0" applyBorder="1"/>
    <xf numFmtId="0" fontId="4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5" borderId="13" xfId="3" applyFont="1" applyFill="1" applyBorder="1" applyAlignment="1">
      <alignment horizontal="center" vertical="center" wrapText="1"/>
    </xf>
    <xf numFmtId="0" fontId="7" fillId="5" borderId="0" xfId="3" applyFont="1" applyFill="1" applyBorder="1" applyAlignment="1">
      <alignment horizontal="center" vertical="center" wrapText="1"/>
    </xf>
    <xf numFmtId="0" fontId="7" fillId="5" borderId="12" xfId="3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PAP</a:t>
            </a:r>
            <a:r>
              <a:rPr lang="es-CO" baseline="0"/>
              <a:t> con método de fuerza de trabajo mínima + subcontratación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Costo PAP mensual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'PAP mdo baja con subctr'!$B$21:$G$21</c:f>
              <c:numCache>
                <c:formatCode>_([$$-240A]\ * #,##0_);_([$$-240A]\ * \(#,##0\);_([$$-240A]\ * "-"??_);_(@_)</c:formatCode>
                <c:ptCount val="6"/>
                <c:pt idx="0">
                  <c:v>15980</c:v>
                </c:pt>
                <c:pt idx="1">
                  <c:v>66150</c:v>
                </c:pt>
                <c:pt idx="2">
                  <c:v>70890</c:v>
                </c:pt>
                <c:pt idx="3">
                  <c:v>64170</c:v>
                </c:pt>
                <c:pt idx="4">
                  <c:v>42860</c:v>
                </c:pt>
                <c:pt idx="5">
                  <c:v>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83B-B16C-695F5CFBC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992257152"/>
        <c:axId val="-992256608"/>
      </c:barChart>
      <c:lineChart>
        <c:grouping val="standard"/>
        <c:varyColors val="0"/>
        <c:ser>
          <c:idx val="2"/>
          <c:order val="1"/>
          <c:tx>
            <c:strRef>
              <c:f>'PAP mdo baja con subctr'!$A$20</c:f>
              <c:strCache>
                <c:ptCount val="1"/>
                <c:pt idx="0">
                  <c:v>Costo por subcontratación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'PAP mdo baja con subctr'!$B$20:$G$20</c:f>
              <c:numCache>
                <c:formatCode>_([$$-240A]\ * #,##0_);_([$$-240A]\ * \(#,##0\);_([$$-240A]\ * "-"??_);_(@_)</c:formatCode>
                <c:ptCount val="6"/>
                <c:pt idx="0">
                  <c:v>6080</c:v>
                </c:pt>
                <c:pt idx="1">
                  <c:v>57600</c:v>
                </c:pt>
                <c:pt idx="2">
                  <c:v>61440</c:v>
                </c:pt>
                <c:pt idx="3">
                  <c:v>54720</c:v>
                </c:pt>
                <c:pt idx="4">
                  <c:v>32960</c:v>
                </c:pt>
                <c:pt idx="5">
                  <c:v>27200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7-483B-B16C-695F5CFBC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92255520"/>
        <c:axId val="-992256064"/>
      </c:lineChart>
      <c:catAx>
        <c:axId val="-99225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992256608"/>
        <c:crosses val="autoZero"/>
        <c:auto val="1"/>
        <c:lblAlgn val="ctr"/>
        <c:lblOffset val="100"/>
        <c:noMultiLvlLbl val="0"/>
      </c:catAx>
      <c:valAx>
        <c:axId val="-99225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Costo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_([$$-240A]\ * #,##0_);_([$$-240A]\ * \(#,##0\);_([$$-240A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992257152"/>
        <c:crosses val="autoZero"/>
        <c:crossBetween val="between"/>
      </c:valAx>
      <c:valAx>
        <c:axId val="-9922560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_([$$-240A]\ * #,##0_);_([$$-240A]\ * \(#,##0\);_([$$-240A]\ 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-992255520"/>
        <c:crosses val="max"/>
        <c:crossBetween val="between"/>
      </c:valAx>
      <c:catAx>
        <c:axId val="-992255520"/>
        <c:scaling>
          <c:orientation val="minMax"/>
        </c:scaling>
        <c:delete val="1"/>
        <c:axPos val="b"/>
        <c:majorTickMark val="out"/>
        <c:minorTickMark val="none"/>
        <c:tickLblPos val="nextTo"/>
        <c:crossAx val="-992256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3</xdr:row>
      <xdr:rowOff>4763</xdr:rowOff>
    </xdr:from>
    <xdr:to>
      <xdr:col>13</xdr:col>
      <xdr:colOff>733425</xdr:colOff>
      <xdr:row>20</xdr:row>
      <xdr:rowOff>133351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333365</xdr:colOff>
      <xdr:row>21</xdr:row>
      <xdr:rowOff>82550</xdr:rowOff>
    </xdr:from>
    <xdr:to>
      <xdr:col>5</xdr:col>
      <xdr:colOff>677115</xdr:colOff>
      <xdr:row>26</xdr:row>
      <xdr:rowOff>66675</xdr:rowOff>
    </xdr:to>
    <xdr:sp macro="" textlink="">
      <xdr:nvSpPr>
        <xdr:cNvPr id="3" name="Oval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48090" y="4349750"/>
          <a:ext cx="1829650" cy="93662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GRIS</a:t>
          </a:r>
          <a:r>
            <a:rPr lang="es-CO" sz="1100" b="1">
              <a:solidFill>
                <a:schemeClr val="tx1"/>
              </a:solidFill>
            </a:rPr>
            <a:t> son de cálculo automático</a:t>
          </a:r>
        </a:p>
      </xdr:txBody>
    </xdr:sp>
    <xdr:clientData/>
  </xdr:twoCellAnchor>
  <xdr:twoCellAnchor>
    <xdr:from>
      <xdr:col>6</xdr:col>
      <xdr:colOff>552440</xdr:colOff>
      <xdr:row>21</xdr:row>
      <xdr:rowOff>82551</xdr:rowOff>
    </xdr:from>
    <xdr:to>
      <xdr:col>9</xdr:col>
      <xdr:colOff>134190</xdr:colOff>
      <xdr:row>26</xdr:row>
      <xdr:rowOff>57151</xdr:rowOff>
    </xdr:to>
    <xdr:sp macro="" textlink="">
      <xdr:nvSpPr>
        <xdr:cNvPr id="4" name="Oval Callou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296015" y="4349751"/>
          <a:ext cx="1829650" cy="927100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BLANCO</a:t>
          </a:r>
          <a:r>
            <a:rPr lang="es-CO" sz="1100" b="1">
              <a:solidFill>
                <a:schemeClr val="tx1"/>
              </a:solidFill>
            </a:rPr>
            <a:t> se</a:t>
          </a:r>
          <a:r>
            <a:rPr lang="es-CO" sz="1100" b="1" baseline="0">
              <a:solidFill>
                <a:schemeClr val="tx1"/>
              </a:solidFill>
            </a:rPr>
            <a:t> deben diligenciar.</a:t>
          </a:r>
          <a:endParaRPr lang="es-CO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6" zoomScale="124" zoomScaleNormal="124" workbookViewId="0">
      <selection activeCell="B16" sqref="B16"/>
    </sheetView>
  </sheetViews>
  <sheetFormatPr baseColWidth="10" defaultColWidth="11.44140625" defaultRowHeight="14.4" x14ac:dyDescent="0.3"/>
  <cols>
    <col min="1" max="1" width="30.44140625" bestFit="1" customWidth="1"/>
    <col min="2" max="8" width="11.109375" customWidth="1"/>
  </cols>
  <sheetData>
    <row r="1" spans="1:14" ht="25.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  <c r="M1" s="22"/>
      <c r="N1" s="22"/>
    </row>
    <row r="2" spans="1:14" ht="25.5" customHeight="1" x14ac:dyDescent="0.3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  <c r="M2" s="22"/>
      <c r="N2" s="22"/>
    </row>
    <row r="4" spans="1:14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2" t="s">
        <v>8</v>
      </c>
      <c r="I4" s="23"/>
      <c r="J4" s="24"/>
      <c r="K4" s="24"/>
      <c r="L4" s="24"/>
      <c r="M4" s="24"/>
      <c r="N4" s="25"/>
    </row>
    <row r="5" spans="1:14" x14ac:dyDescent="0.3">
      <c r="A5" s="3" t="s">
        <v>9</v>
      </c>
      <c r="B5" s="4">
        <v>22</v>
      </c>
      <c r="C5" s="4">
        <v>19</v>
      </c>
      <c r="D5" s="4">
        <v>21</v>
      </c>
      <c r="E5" s="4">
        <v>21</v>
      </c>
      <c r="F5" s="4">
        <v>22</v>
      </c>
      <c r="G5" s="4">
        <v>20</v>
      </c>
      <c r="H5" s="5">
        <f>SUM(B5:G5)</f>
        <v>125</v>
      </c>
      <c r="I5" s="26"/>
      <c r="J5" s="27"/>
      <c r="K5" s="27"/>
      <c r="L5" s="27"/>
      <c r="M5" s="27"/>
      <c r="N5" s="28"/>
    </row>
    <row r="6" spans="1:14" x14ac:dyDescent="0.3">
      <c r="A6" s="3" t="s">
        <v>10</v>
      </c>
      <c r="B6" s="5">
        <f>B5*$B$23</f>
        <v>440</v>
      </c>
      <c r="C6" s="5">
        <f t="shared" ref="C6:G6" si="0">C5*$B$23</f>
        <v>380</v>
      </c>
      <c r="D6" s="5">
        <f t="shared" si="0"/>
        <v>420</v>
      </c>
      <c r="E6" s="5">
        <f t="shared" si="0"/>
        <v>420</v>
      </c>
      <c r="F6" s="5">
        <f t="shared" si="0"/>
        <v>440</v>
      </c>
      <c r="G6" s="5">
        <f t="shared" si="0"/>
        <v>400</v>
      </c>
      <c r="H6" s="5">
        <f t="shared" ref="H6:H21" si="1">SUM(B6:G6)</f>
        <v>2500</v>
      </c>
      <c r="I6" s="26"/>
      <c r="J6" s="27"/>
      <c r="K6" s="27"/>
      <c r="L6" s="27"/>
      <c r="M6" s="27"/>
      <c r="N6" s="28"/>
    </row>
    <row r="7" spans="1:14" x14ac:dyDescent="0.3">
      <c r="A7" s="3" t="s">
        <v>11</v>
      </c>
      <c r="B7" s="4">
        <v>2390</v>
      </c>
      <c r="C7" s="4">
        <v>3700</v>
      </c>
      <c r="D7" s="4">
        <v>4020</v>
      </c>
      <c r="E7" s="4">
        <v>3810</v>
      </c>
      <c r="F7" s="4">
        <v>3230</v>
      </c>
      <c r="G7" s="4">
        <v>2850</v>
      </c>
      <c r="H7" s="5">
        <f t="shared" si="1"/>
        <v>20000</v>
      </c>
      <c r="I7" s="26"/>
      <c r="J7" s="27"/>
      <c r="K7" s="27"/>
      <c r="L7" s="27"/>
      <c r="M7" s="27"/>
      <c r="N7" s="28"/>
    </row>
    <row r="8" spans="1:14" x14ac:dyDescent="0.3">
      <c r="A8" s="3" t="s">
        <v>12</v>
      </c>
      <c r="B8" s="6">
        <f>ROUND(MIN($B$7:$G$7)/(INDEX($B$5:$G$7,1,MATCH(MIN($B$7:$G$7),$B$7:$G$7,0))*$B$23),0)</f>
        <v>5</v>
      </c>
      <c r="C8" s="6">
        <f t="shared" ref="C8:G8" si="2">ROUND(MIN($B$7:$G$7)/(INDEX($B$5:$G$7,1,MATCH(MIN($B$7:$G$7),$B$7:$G$7,0))*$B$23),0)</f>
        <v>5</v>
      </c>
      <c r="D8" s="6">
        <f t="shared" si="2"/>
        <v>5</v>
      </c>
      <c r="E8" s="6">
        <f t="shared" si="2"/>
        <v>5</v>
      </c>
      <c r="F8" s="6">
        <f t="shared" si="2"/>
        <v>5</v>
      </c>
      <c r="G8" s="6">
        <f t="shared" si="2"/>
        <v>5</v>
      </c>
      <c r="H8" s="5"/>
      <c r="I8" s="26"/>
      <c r="J8" s="27"/>
      <c r="K8" s="27"/>
      <c r="L8" s="27"/>
      <c r="M8" s="27"/>
      <c r="N8" s="28"/>
    </row>
    <row r="9" spans="1:14" x14ac:dyDescent="0.3">
      <c r="A9" s="3" t="s">
        <v>13</v>
      </c>
      <c r="B9" s="5">
        <f>B24</f>
        <v>5</v>
      </c>
      <c r="C9" s="6">
        <f>IF(B8&gt;=B9,B9+B10,IF(B9&gt;=B8,B9-B12,""))</f>
        <v>5</v>
      </c>
      <c r="D9" s="6">
        <f t="shared" ref="D9:F9" si="3">IF(C8&gt;=C9,C9+C10,IF(C9&gt;=C8,C9-C12,""))</f>
        <v>5</v>
      </c>
      <c r="E9" s="6">
        <f t="shared" si="3"/>
        <v>5</v>
      </c>
      <c r="F9" s="6">
        <f t="shared" si="3"/>
        <v>5</v>
      </c>
      <c r="G9" s="6">
        <f>IF(F8&gt;=F9,F9+F10,IF(F9&gt;=F8,F9-F12,""))</f>
        <v>5</v>
      </c>
      <c r="H9" s="5"/>
      <c r="I9" s="26"/>
      <c r="J9" s="27"/>
      <c r="K9" s="27"/>
      <c r="L9" s="27"/>
      <c r="M9" s="27"/>
      <c r="N9" s="28"/>
    </row>
    <row r="10" spans="1:14" x14ac:dyDescent="0.3">
      <c r="A10" s="3" t="s">
        <v>14</v>
      </c>
      <c r="B10" s="6">
        <f>IF(B8&gt;=B9,B8-B9,0)</f>
        <v>0</v>
      </c>
      <c r="C10" s="6">
        <f t="shared" ref="C10:D10" si="4">IF(C8&gt;=C9,C8-C9,0)</f>
        <v>0</v>
      </c>
      <c r="D10" s="6">
        <f t="shared" si="4"/>
        <v>0</v>
      </c>
      <c r="E10" s="6">
        <f>IF(E8&gt;=E9,E8-E9,0)</f>
        <v>0</v>
      </c>
      <c r="F10" s="6">
        <f t="shared" ref="F10:G10" si="5">IF(F8&gt;=F9,F8-F9,0)</f>
        <v>0</v>
      </c>
      <c r="G10" s="6">
        <f t="shared" si="5"/>
        <v>0</v>
      </c>
      <c r="H10" s="5"/>
      <c r="I10" s="26"/>
      <c r="J10" s="27"/>
      <c r="K10" s="27"/>
      <c r="L10" s="27"/>
      <c r="M10" s="27"/>
      <c r="N10" s="28"/>
    </row>
    <row r="11" spans="1:14" x14ac:dyDescent="0.3">
      <c r="A11" s="3" t="s">
        <v>15</v>
      </c>
      <c r="B11" s="7">
        <f t="shared" ref="B11:G11" si="6">B10*$B$27</f>
        <v>0</v>
      </c>
      <c r="C11" s="7">
        <f t="shared" si="6"/>
        <v>0</v>
      </c>
      <c r="D11" s="7">
        <f t="shared" si="6"/>
        <v>0</v>
      </c>
      <c r="E11" s="7">
        <f t="shared" si="6"/>
        <v>0</v>
      </c>
      <c r="F11" s="7">
        <f t="shared" si="6"/>
        <v>0</v>
      </c>
      <c r="G11" s="7">
        <f t="shared" si="6"/>
        <v>0</v>
      </c>
      <c r="H11" s="8">
        <f t="shared" si="1"/>
        <v>0</v>
      </c>
      <c r="I11" s="26"/>
      <c r="J11" s="27"/>
      <c r="K11" s="27"/>
      <c r="L11" s="27"/>
      <c r="M11" s="27"/>
      <c r="N11" s="28"/>
    </row>
    <row r="12" spans="1:14" x14ac:dyDescent="0.3">
      <c r="A12" s="3" t="s">
        <v>16</v>
      </c>
      <c r="B12" s="6">
        <f t="shared" ref="B12:G12" si="7">IF(B9&gt;=B8,B9-B8,0)</f>
        <v>0</v>
      </c>
      <c r="C12" s="6">
        <f t="shared" si="7"/>
        <v>0</v>
      </c>
      <c r="D12" s="6">
        <f t="shared" si="7"/>
        <v>0</v>
      </c>
      <c r="E12" s="6">
        <f t="shared" si="7"/>
        <v>0</v>
      </c>
      <c r="F12" s="6">
        <f t="shared" si="7"/>
        <v>0</v>
      </c>
      <c r="G12" s="6">
        <f t="shared" si="7"/>
        <v>0</v>
      </c>
      <c r="H12" s="5"/>
      <c r="I12" s="26"/>
      <c r="J12" s="27"/>
      <c r="K12" s="27"/>
      <c r="L12" s="27"/>
      <c r="M12" s="27"/>
      <c r="N12" s="28"/>
    </row>
    <row r="13" spans="1:14" x14ac:dyDescent="0.3">
      <c r="A13" s="3" t="s">
        <v>17</v>
      </c>
      <c r="B13" s="9">
        <f t="shared" ref="B13:G13" si="8">B12*$B$28</f>
        <v>0</v>
      </c>
      <c r="C13" s="9">
        <f t="shared" si="8"/>
        <v>0</v>
      </c>
      <c r="D13" s="9">
        <f t="shared" si="8"/>
        <v>0</v>
      </c>
      <c r="E13" s="9">
        <f t="shared" si="8"/>
        <v>0</v>
      </c>
      <c r="F13" s="9">
        <f t="shared" si="8"/>
        <v>0</v>
      </c>
      <c r="G13" s="9">
        <f t="shared" si="8"/>
        <v>0</v>
      </c>
      <c r="H13" s="8">
        <f t="shared" si="1"/>
        <v>0</v>
      </c>
      <c r="I13" s="26"/>
      <c r="J13" s="27"/>
      <c r="K13" s="27"/>
      <c r="L13" s="27"/>
      <c r="M13" s="27"/>
      <c r="N13" s="28"/>
    </row>
    <row r="14" spans="1:14" x14ac:dyDescent="0.3">
      <c r="A14" s="3" t="s">
        <v>18</v>
      </c>
      <c r="B14" s="5">
        <f>IF(B8&gt;=B9,B9+B10,IF(B9&gt;=B8,B9-B12,""))</f>
        <v>5</v>
      </c>
      <c r="C14" s="5">
        <f t="shared" ref="C14:G14" si="9">IF(C8&gt;=C9,C9+C10,IF(C9&gt;=C8,C9-C12,""))</f>
        <v>5</v>
      </c>
      <c r="D14" s="5">
        <f t="shared" si="9"/>
        <v>5</v>
      </c>
      <c r="E14" s="5">
        <f t="shared" si="9"/>
        <v>5</v>
      </c>
      <c r="F14" s="5">
        <f t="shared" si="9"/>
        <v>5</v>
      </c>
      <c r="G14" s="5">
        <f t="shared" si="9"/>
        <v>5</v>
      </c>
      <c r="H14" s="5"/>
      <c r="I14" s="26"/>
      <c r="J14" s="27"/>
      <c r="K14" s="27"/>
      <c r="L14" s="27"/>
      <c r="M14" s="27"/>
      <c r="N14" s="28"/>
    </row>
    <row r="15" spans="1:14" x14ac:dyDescent="0.3">
      <c r="A15" s="3" t="s">
        <v>19</v>
      </c>
      <c r="B15" s="7">
        <f>$B$26*B5*B14</f>
        <v>9900</v>
      </c>
      <c r="C15" s="7">
        <f t="shared" ref="C15:G15" si="10">$B$26*C5*C14</f>
        <v>8550</v>
      </c>
      <c r="D15" s="7">
        <f t="shared" si="10"/>
        <v>9450</v>
      </c>
      <c r="E15" s="7">
        <f t="shared" si="10"/>
        <v>9450</v>
      </c>
      <c r="F15" s="7">
        <f t="shared" si="10"/>
        <v>9900</v>
      </c>
      <c r="G15" s="7">
        <f t="shared" si="10"/>
        <v>9000</v>
      </c>
      <c r="H15" s="8">
        <f t="shared" si="1"/>
        <v>56250</v>
      </c>
      <c r="I15" s="26"/>
      <c r="J15" s="27"/>
      <c r="K15" s="27"/>
      <c r="L15" s="27"/>
      <c r="M15" s="27"/>
      <c r="N15" s="28"/>
    </row>
    <row r="16" spans="1:14" x14ac:dyDescent="0.3">
      <c r="A16" s="3" t="s">
        <v>20</v>
      </c>
      <c r="B16" s="10">
        <f>(B14*B6)+B25</f>
        <v>2200</v>
      </c>
      <c r="C16" s="10">
        <f>(C14*C6)+B17</f>
        <v>1900</v>
      </c>
      <c r="D16" s="10">
        <f t="shared" ref="D16:G16" si="11">(D14*D6)+C17</f>
        <v>2100</v>
      </c>
      <c r="E16" s="10">
        <f t="shared" si="11"/>
        <v>2100</v>
      </c>
      <c r="F16" s="10">
        <f t="shared" si="11"/>
        <v>2200</v>
      </c>
      <c r="G16" s="10">
        <f t="shared" si="11"/>
        <v>2000</v>
      </c>
      <c r="H16" s="5">
        <f t="shared" si="1"/>
        <v>12500</v>
      </c>
      <c r="I16" s="26"/>
      <c r="J16" s="27"/>
      <c r="K16" s="27"/>
      <c r="L16" s="27"/>
      <c r="M16" s="27"/>
      <c r="N16" s="28"/>
    </row>
    <row r="17" spans="1:14" x14ac:dyDescent="0.3">
      <c r="A17" s="3" t="s">
        <v>21</v>
      </c>
      <c r="B17" s="5">
        <f>IF(B7&gt;=(B16),0,B16-B7)</f>
        <v>0</v>
      </c>
      <c r="C17" s="5">
        <f>IF(C7&gt;=C16,0,C16-C7)</f>
        <v>0</v>
      </c>
      <c r="D17" s="5">
        <f t="shared" ref="D17:G17" si="12">IF(D7&gt;=D16,0,D16-D7)</f>
        <v>0</v>
      </c>
      <c r="E17" s="5">
        <f t="shared" si="12"/>
        <v>0</v>
      </c>
      <c r="F17" s="5">
        <f t="shared" si="12"/>
        <v>0</v>
      </c>
      <c r="G17" s="5">
        <f t="shared" si="12"/>
        <v>0</v>
      </c>
      <c r="H17" s="5">
        <f t="shared" si="1"/>
        <v>0</v>
      </c>
      <c r="I17" s="26"/>
      <c r="J17" s="27"/>
      <c r="K17" s="27"/>
      <c r="L17" s="27"/>
      <c r="M17" s="27"/>
      <c r="N17" s="28"/>
    </row>
    <row r="18" spans="1:14" x14ac:dyDescent="0.3">
      <c r="A18" s="3" t="s">
        <v>22</v>
      </c>
      <c r="B18" s="7">
        <f>$B$29*B17</f>
        <v>0</v>
      </c>
      <c r="C18" s="7">
        <f t="shared" ref="C18:G18" si="13">$B$29*C17</f>
        <v>0</v>
      </c>
      <c r="D18" s="7">
        <f t="shared" si="13"/>
        <v>0</v>
      </c>
      <c r="E18" s="7">
        <f t="shared" si="13"/>
        <v>0</v>
      </c>
      <c r="F18" s="7">
        <f t="shared" si="13"/>
        <v>0</v>
      </c>
      <c r="G18" s="7">
        <f t="shared" si="13"/>
        <v>0</v>
      </c>
      <c r="H18" s="7">
        <f t="shared" si="1"/>
        <v>0</v>
      </c>
      <c r="I18" s="26"/>
      <c r="J18" s="27"/>
      <c r="K18" s="27"/>
      <c r="L18" s="27"/>
      <c r="M18" s="27"/>
      <c r="N18" s="28"/>
    </row>
    <row r="19" spans="1:14" x14ac:dyDescent="0.3">
      <c r="A19" s="3" t="s">
        <v>23</v>
      </c>
      <c r="B19" s="11">
        <f>IF(B7&gt;=B16,B7-B16,0)</f>
        <v>190</v>
      </c>
      <c r="C19" s="11">
        <f>IF(C7&gt;=C16,C7-C16,0)</f>
        <v>1800</v>
      </c>
      <c r="D19" s="11">
        <f t="shared" ref="D19:G19" si="14">IF(D7&gt;=D16,D7-D16,0)</f>
        <v>1920</v>
      </c>
      <c r="E19" s="11">
        <f t="shared" si="14"/>
        <v>1710</v>
      </c>
      <c r="F19" s="11">
        <f t="shared" si="14"/>
        <v>1030</v>
      </c>
      <c r="G19" s="11">
        <f t="shared" si="14"/>
        <v>850</v>
      </c>
      <c r="H19" s="5">
        <f t="shared" si="1"/>
        <v>7500</v>
      </c>
      <c r="I19" s="26"/>
      <c r="J19" s="27"/>
      <c r="K19" s="27"/>
      <c r="L19" s="27"/>
      <c r="M19" s="27"/>
      <c r="N19" s="28"/>
    </row>
    <row r="20" spans="1:14" x14ac:dyDescent="0.3">
      <c r="A20" s="3" t="s">
        <v>24</v>
      </c>
      <c r="B20" s="12">
        <f>B19*$B$30</f>
        <v>6080</v>
      </c>
      <c r="C20" s="12">
        <f t="shared" ref="C20:G20" si="15">C19*$B$30</f>
        <v>57600</v>
      </c>
      <c r="D20" s="12">
        <f t="shared" si="15"/>
        <v>61440</v>
      </c>
      <c r="E20" s="12">
        <f t="shared" si="15"/>
        <v>54720</v>
      </c>
      <c r="F20" s="12">
        <f t="shared" si="15"/>
        <v>32960</v>
      </c>
      <c r="G20" s="12">
        <f t="shared" si="15"/>
        <v>27200</v>
      </c>
      <c r="H20" s="12">
        <f t="shared" si="1"/>
        <v>240000</v>
      </c>
      <c r="I20" s="26"/>
      <c r="J20" s="27"/>
      <c r="K20" s="27"/>
      <c r="L20" s="27"/>
      <c r="M20" s="27"/>
      <c r="N20" s="28"/>
    </row>
    <row r="21" spans="1:14" x14ac:dyDescent="0.3">
      <c r="A21" s="3" t="s">
        <v>25</v>
      </c>
      <c r="B21" s="7">
        <f>B11+B13+B15+B18+B20</f>
        <v>15980</v>
      </c>
      <c r="C21" s="7">
        <f t="shared" ref="C21:G21" si="16">C11+C13+C15+C18+C20</f>
        <v>66150</v>
      </c>
      <c r="D21" s="7">
        <f t="shared" si="16"/>
        <v>70890</v>
      </c>
      <c r="E21" s="7">
        <f t="shared" si="16"/>
        <v>64170</v>
      </c>
      <c r="F21" s="7">
        <f t="shared" si="16"/>
        <v>42860</v>
      </c>
      <c r="G21" s="7">
        <f t="shared" si="16"/>
        <v>36200</v>
      </c>
      <c r="H21" s="7">
        <f t="shared" si="1"/>
        <v>296250</v>
      </c>
      <c r="I21" s="29"/>
      <c r="J21" s="30"/>
      <c r="K21" s="30"/>
      <c r="L21" s="30"/>
      <c r="M21" s="30"/>
      <c r="N21" s="31"/>
    </row>
    <row r="22" spans="1:14" x14ac:dyDescent="0.3">
      <c r="D22" s="13"/>
      <c r="E22" s="13"/>
      <c r="G22" s="13"/>
    </row>
    <row r="23" spans="1:14" x14ac:dyDescent="0.3">
      <c r="A23" s="14" t="s">
        <v>26</v>
      </c>
      <c r="B23" s="15">
        <v>20</v>
      </c>
      <c r="C23" s="15" t="s">
        <v>27</v>
      </c>
      <c r="J23" s="16"/>
    </row>
    <row r="24" spans="1:14" x14ac:dyDescent="0.3">
      <c r="A24" s="14" t="s">
        <v>28</v>
      </c>
      <c r="B24" s="15">
        <v>5</v>
      </c>
      <c r="C24" s="15" t="s">
        <v>29</v>
      </c>
      <c r="E24" s="17"/>
      <c r="G24" s="17"/>
    </row>
    <row r="25" spans="1:14" x14ac:dyDescent="0.3">
      <c r="A25" s="14" t="s">
        <v>30</v>
      </c>
      <c r="B25" s="15">
        <v>0</v>
      </c>
      <c r="C25" s="15" t="s">
        <v>31</v>
      </c>
    </row>
    <row r="26" spans="1:14" x14ac:dyDescent="0.3">
      <c r="A26" s="14" t="s">
        <v>32</v>
      </c>
      <c r="B26" s="18">
        <v>90</v>
      </c>
      <c r="C26" s="15" t="s">
        <v>27</v>
      </c>
    </row>
    <row r="27" spans="1:14" ht="15" thickBot="1" x14ac:dyDescent="0.35">
      <c r="A27" s="14" t="s">
        <v>33</v>
      </c>
      <c r="B27" s="18">
        <v>400</v>
      </c>
      <c r="C27" s="15" t="s">
        <v>34</v>
      </c>
      <c r="E27" s="19"/>
      <c r="F27" s="19"/>
      <c r="G27" s="19"/>
      <c r="H27" s="19"/>
      <c r="I27" s="19"/>
    </row>
    <row r="28" spans="1:14" ht="15" customHeight="1" thickTop="1" x14ac:dyDescent="0.3">
      <c r="A28" s="14" t="s">
        <v>35</v>
      </c>
      <c r="B28" s="18">
        <v>700</v>
      </c>
      <c r="C28" s="15" t="s">
        <v>34</v>
      </c>
      <c r="E28" s="32"/>
      <c r="F28" s="32"/>
      <c r="G28" s="32"/>
      <c r="H28" s="32"/>
      <c r="I28" s="32"/>
    </row>
    <row r="29" spans="1:14" ht="15.75" customHeight="1" x14ac:dyDescent="0.3">
      <c r="A29" s="14" t="s">
        <v>22</v>
      </c>
      <c r="B29" s="18">
        <v>11</v>
      </c>
      <c r="C29" s="15" t="s">
        <v>36</v>
      </c>
      <c r="E29" s="33"/>
      <c r="F29" s="33"/>
      <c r="G29" s="33"/>
      <c r="H29" s="33"/>
      <c r="I29" s="33"/>
    </row>
    <row r="30" spans="1:14" ht="15" thickBot="1" x14ac:dyDescent="0.35">
      <c r="A30" s="14" t="s">
        <v>37</v>
      </c>
      <c r="B30" s="18">
        <v>32</v>
      </c>
      <c r="C30" s="15" t="s">
        <v>36</v>
      </c>
      <c r="E30" s="34"/>
      <c r="F30" s="34"/>
      <c r="G30" s="34"/>
      <c r="H30" s="34"/>
      <c r="I30" s="34"/>
    </row>
    <row r="31" spans="1:14" ht="15" thickTop="1" x14ac:dyDescent="0.3">
      <c r="A31" s="20" t="s">
        <v>38</v>
      </c>
      <c r="B31" s="15">
        <v>8</v>
      </c>
      <c r="C31" s="15" t="s">
        <v>39</v>
      </c>
    </row>
  </sheetData>
  <mergeCells count="5">
    <mergeCell ref="A1:K1"/>
    <mergeCell ref="L1:N2"/>
    <mergeCell ref="A2:K2"/>
    <mergeCell ref="I4:N21"/>
    <mergeCell ref="E28:I30"/>
  </mergeCells>
  <pageMargins left="0.7" right="0.7" top="0.75" bottom="0.75" header="0.3" footer="0.3"/>
  <pageSetup scale="51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PAP mdo baja con subctr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Ingenio Empresa</dc:creator>
  <cp:lastModifiedBy>Guillermo AntonioAguirre</cp:lastModifiedBy>
  <dcterms:created xsi:type="dcterms:W3CDTF">2016-05-22T19:55:05Z</dcterms:created>
  <dcterms:modified xsi:type="dcterms:W3CDTF">2025-09-05T17:01:57Z</dcterms:modified>
</cp:coreProperties>
</file>