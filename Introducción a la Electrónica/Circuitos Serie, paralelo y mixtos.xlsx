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upoliedu-my.sharepoint.com/personal/gaguirre29_docente_unp_edu_ni/Documents/Clases/Materias/Introducción a la Electrónica/"/>
    </mc:Choice>
  </mc:AlternateContent>
  <xr:revisionPtr revIDLastSave="398" documentId="11_AD4D2F04E46CFB4ACB3E20341552E800693EDF1B" xr6:coauthVersionLast="47" xr6:coauthVersionMax="47" xr10:uidLastSave="{35B06843-D3EB-400D-ADA8-51A16D6FC61D}"/>
  <bookViews>
    <workbookView xWindow="-108" yWindow="-108" windowWidth="23256" windowHeight="12456" activeTab="3" xr2:uid="{00000000-000D-0000-FFFF-FFFF00000000}"/>
  </bookViews>
  <sheets>
    <sheet name="PS3" sheetId="1" r:id="rId1"/>
    <sheet name="ps3 respuestas" sheetId="5" r:id="rId2"/>
    <sheet name="PS4" sheetId="3" r:id="rId3"/>
    <sheet name="ps4 respuestas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L14" i="3"/>
  <c r="L9" i="3"/>
  <c r="I9" i="3"/>
  <c r="C4" i="3"/>
  <c r="L3" i="3"/>
  <c r="I3" i="3"/>
  <c r="F3" i="3"/>
  <c r="C4" i="1"/>
  <c r="L3" i="1"/>
  <c r="I3" i="1"/>
  <c r="F3" i="1"/>
  <c r="C3" i="1" l="1"/>
  <c r="C5" i="1" s="1"/>
  <c r="C3" i="3"/>
  <c r="C5" i="3" s="1"/>
  <c r="C6" i="1" l="1"/>
  <c r="O5" i="1"/>
  <c r="O4" i="1" s="1"/>
  <c r="I4" i="1" s="1"/>
  <c r="I5" i="1" s="1"/>
  <c r="I6" i="1" s="1"/>
  <c r="L5" i="1"/>
  <c r="L11" i="3"/>
  <c r="L10" i="3" s="1"/>
  <c r="I4" i="3" s="1"/>
  <c r="L16" i="3"/>
  <c r="L15" i="3" s="1"/>
  <c r="L4" i="3" s="1"/>
  <c r="L5" i="3" s="1"/>
  <c r="L6" i="3" s="1"/>
  <c r="C6" i="3"/>
  <c r="L4" i="1" l="1"/>
  <c r="L6" i="1"/>
  <c r="I10" i="3"/>
  <c r="I11" i="3" s="1"/>
  <c r="I12" i="3" s="1"/>
  <c r="F4" i="1"/>
  <c r="F5" i="1" s="1"/>
  <c r="F6" i="1" s="1"/>
  <c r="F4" i="3"/>
  <c r="F5" i="3" s="1"/>
  <c r="F6" i="3" s="1"/>
  <c r="I5" i="3"/>
  <c r="I6" i="3" s="1"/>
</calcChain>
</file>

<file path=xl/sharedStrings.xml><?xml version="1.0" encoding="utf-8"?>
<sst xmlns="http://schemas.openxmlformats.org/spreadsheetml/2006/main" count="103" uniqueCount="34">
  <si>
    <t>V1</t>
  </si>
  <si>
    <t>I1</t>
  </si>
  <si>
    <t>P1</t>
  </si>
  <si>
    <t>Vt</t>
  </si>
  <si>
    <t>It</t>
  </si>
  <si>
    <t>Pt</t>
  </si>
  <si>
    <t>Rt</t>
  </si>
  <si>
    <t>R1</t>
  </si>
  <si>
    <t>V2</t>
  </si>
  <si>
    <t>I2</t>
  </si>
  <si>
    <t>P2</t>
  </si>
  <si>
    <t>R3</t>
  </si>
  <si>
    <t>V3</t>
  </si>
  <si>
    <t>I3</t>
  </si>
  <si>
    <t>P3</t>
  </si>
  <si>
    <t>R2</t>
  </si>
  <si>
    <t>R12</t>
  </si>
  <si>
    <t>V12</t>
  </si>
  <si>
    <t>I12</t>
  </si>
  <si>
    <t>R4</t>
  </si>
  <si>
    <t>V4</t>
  </si>
  <si>
    <t>I4</t>
  </si>
  <si>
    <t>P4</t>
  </si>
  <si>
    <t>R34</t>
  </si>
  <si>
    <t>V34</t>
  </si>
  <si>
    <t>I34</t>
  </si>
  <si>
    <t>Ej01</t>
  </si>
  <si>
    <t>R1,2</t>
  </si>
  <si>
    <t>V1,2</t>
  </si>
  <si>
    <t>I1,2</t>
  </si>
  <si>
    <t>Ej02</t>
  </si>
  <si>
    <t>R3,4</t>
  </si>
  <si>
    <t>V3,4</t>
  </si>
  <si>
    <t>I3,4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</si>
</sst>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2" fontId="0" fillId="2" borderId="0" xfId="0" applyNumberFormat="1" applyFill="1"/>
    <xf numFmtId="164" fontId="0" fillId="2" borderId="0" xfId="0" applyNumberFormat="1" applyFill="1"/>
    <xf numFmtId="164" fontId="0" fillId="0" borderId="0" xfId="0" applyNumberFormat="1"/>
    <xf numFmtId="0" fontId="0" fillId="3" borderId="0" xfId="0" applyFill="1"/>
    <xf numFmtId="164" fontId="0" fillId="3" borderId="0" xfId="0" applyNumberFormat="1" applyFill="1"/>
    <xf numFmtId="2" fontId="0" fillId="3" borderId="0" xfId="0" applyNumberFormat="1" applyFill="1"/>
    <xf numFmtId="0" fontId="0" fillId="4" borderId="0" xfId="0" applyFill="1"/>
    <xf numFmtId="164" fontId="0" fillId="4" borderId="0" xfId="0" applyNumberForma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7</xdr:row>
      <xdr:rowOff>0</xdr:rowOff>
    </xdr:from>
    <xdr:to>
      <xdr:col>8</xdr:col>
      <xdr:colOff>171450</xdr:colOff>
      <xdr:row>20</xdr:row>
      <xdr:rowOff>60846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3F94D30-9E40-350D-A4A1-44A4B276B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025" y="1333500"/>
          <a:ext cx="3695700" cy="25373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485775</xdr:colOff>
      <xdr:row>7</xdr:row>
      <xdr:rowOff>38100</xdr:rowOff>
    </xdr:from>
    <xdr:to>
      <xdr:col>6</xdr:col>
      <xdr:colOff>643281</xdr:colOff>
      <xdr:row>19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589411F-0840-4CE4-90ED-D19430E59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5775" y="1371600"/>
          <a:ext cx="3129306" cy="23622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O13"/>
  <sheetViews>
    <sheetView workbookViewId="0">
      <selection activeCell="J25" sqref="J25"/>
    </sheetView>
  </sheetViews>
  <sheetFormatPr baseColWidth="10" defaultColWidth="9.109375" defaultRowHeight="14.4" x14ac:dyDescent="0.3"/>
  <cols>
    <col min="2" max="2" width="3.33203125" bestFit="1" customWidth="1"/>
    <col min="3" max="3" width="12.5546875" style="4" bestFit="1" customWidth="1"/>
    <col min="5" max="5" width="3.33203125" bestFit="1" customWidth="1"/>
    <col min="6" max="6" width="11.5546875" style="4" bestFit="1" customWidth="1"/>
    <col min="8" max="8" width="3.33203125" bestFit="1" customWidth="1"/>
    <col min="9" max="9" width="12.5546875" style="4" bestFit="1" customWidth="1"/>
    <col min="11" max="11" width="3.33203125" bestFit="1" customWidth="1"/>
    <col min="12" max="12" width="12.5546875" style="4" bestFit="1" customWidth="1"/>
    <col min="14" max="14" width="4.33203125" bestFit="1" customWidth="1"/>
    <col min="15" max="15" width="9.5546875" style="4" bestFit="1" customWidth="1"/>
  </cols>
  <sheetData>
    <row r="3" spans="2:15" x14ac:dyDescent="0.3">
      <c r="B3" s="1" t="s">
        <v>6</v>
      </c>
      <c r="C3" s="3">
        <f>L3+O3</f>
        <v>30</v>
      </c>
      <c r="E3" s="1" t="s">
        <v>7</v>
      </c>
      <c r="F3" s="3">
        <f>L11</f>
        <v>40</v>
      </c>
      <c r="H3" s="1" t="s">
        <v>15</v>
      </c>
      <c r="I3" s="3">
        <f>L12</f>
        <v>10</v>
      </c>
      <c r="K3" s="1" t="s">
        <v>11</v>
      </c>
      <c r="L3" s="3">
        <f>L13</f>
        <v>22</v>
      </c>
      <c r="N3" s="1" t="s">
        <v>16</v>
      </c>
      <c r="O3" s="3">
        <f>1/((1/F3)+(1/I3))</f>
        <v>8</v>
      </c>
    </row>
    <row r="4" spans="2:15" x14ac:dyDescent="0.3">
      <c r="B4" s="1" t="s">
        <v>3</v>
      </c>
      <c r="C4" s="3">
        <f>L10</f>
        <v>52000</v>
      </c>
      <c r="E4" s="1" t="s">
        <v>0</v>
      </c>
      <c r="F4" s="3">
        <f>O4</f>
        <v>13866.666666666666</v>
      </c>
      <c r="H4" s="1" t="s">
        <v>8</v>
      </c>
      <c r="I4" s="3">
        <f>O4</f>
        <v>13866.666666666666</v>
      </c>
      <c r="K4" s="1" t="s">
        <v>12</v>
      </c>
      <c r="L4" s="3">
        <f>L3*L5</f>
        <v>38133.333333333328</v>
      </c>
      <c r="N4" s="1" t="s">
        <v>17</v>
      </c>
      <c r="O4" s="3">
        <f>O3*O5</f>
        <v>13866.666666666666</v>
      </c>
    </row>
    <row r="5" spans="2:15" x14ac:dyDescent="0.3">
      <c r="B5" s="1" t="s">
        <v>4</v>
      </c>
      <c r="C5" s="3">
        <f>C4/C3</f>
        <v>1733.3333333333333</v>
      </c>
      <c r="E5" s="1" t="s">
        <v>1</v>
      </c>
      <c r="F5" s="3">
        <f>F4/F3</f>
        <v>346.66666666666663</v>
      </c>
      <c r="H5" s="1" t="s">
        <v>9</v>
      </c>
      <c r="I5" s="3">
        <f>I4/I3</f>
        <v>1386.6666666666665</v>
      </c>
      <c r="K5" s="1" t="s">
        <v>13</v>
      </c>
      <c r="L5" s="3">
        <f>C5</f>
        <v>1733.3333333333333</v>
      </c>
      <c r="N5" s="1" t="s">
        <v>18</v>
      </c>
      <c r="O5" s="3">
        <f>C5</f>
        <v>1733.3333333333333</v>
      </c>
    </row>
    <row r="6" spans="2:15" x14ac:dyDescent="0.3">
      <c r="B6" s="1" t="s">
        <v>5</v>
      </c>
      <c r="C6" s="3">
        <f>C5*C4</f>
        <v>90133333.333333328</v>
      </c>
      <c r="E6" s="1" t="s">
        <v>2</v>
      </c>
      <c r="F6" s="3">
        <f>F5*F4</f>
        <v>4807111.1111111101</v>
      </c>
      <c r="H6" s="1" t="s">
        <v>10</v>
      </c>
      <c r="I6" s="3">
        <f>I5*I4</f>
        <v>19228444.44444444</v>
      </c>
      <c r="K6" s="1" t="s">
        <v>14</v>
      </c>
      <c r="L6" s="3">
        <f>L5*L4</f>
        <v>66097777.777777769</v>
      </c>
    </row>
    <row r="10" spans="2:15" x14ac:dyDescent="0.3">
      <c r="K10" t="s">
        <v>3</v>
      </c>
      <c r="L10" s="4">
        <v>52000</v>
      </c>
    </row>
    <row r="11" spans="2:15" x14ac:dyDescent="0.3">
      <c r="K11" t="s">
        <v>7</v>
      </c>
      <c r="L11" s="4">
        <v>40</v>
      </c>
    </row>
    <row r="12" spans="2:15" x14ac:dyDescent="0.3">
      <c r="K12" t="s">
        <v>15</v>
      </c>
      <c r="L12" s="4">
        <v>10</v>
      </c>
    </row>
    <row r="13" spans="2:15" x14ac:dyDescent="0.3">
      <c r="K13" t="s">
        <v>11</v>
      </c>
      <c r="L13" s="4">
        <v>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A0925-C01C-482D-BC3E-56F15796C180}">
  <dimension ref="C2:E21"/>
  <sheetViews>
    <sheetView workbookViewId="0">
      <selection activeCell="D1" sqref="D1:D1048576"/>
    </sheetView>
  </sheetViews>
  <sheetFormatPr baseColWidth="10" defaultRowHeight="14.4" x14ac:dyDescent="0.3"/>
  <cols>
    <col min="3" max="3" width="4.6640625" customWidth="1"/>
    <col min="4" max="15" width="8.6640625" customWidth="1"/>
  </cols>
  <sheetData>
    <row r="2" spans="3:5" x14ac:dyDescent="0.3">
      <c r="D2" t="s">
        <v>26</v>
      </c>
      <c r="E2" t="s">
        <v>30</v>
      </c>
    </row>
    <row r="3" spans="3:5" x14ac:dyDescent="0.3">
      <c r="C3" t="s">
        <v>6</v>
      </c>
      <c r="D3" s="4">
        <v>26</v>
      </c>
      <c r="E3">
        <v>30</v>
      </c>
    </row>
    <row r="4" spans="3:5" x14ac:dyDescent="0.3">
      <c r="C4" s="8" t="s">
        <v>3</v>
      </c>
      <c r="D4" s="9">
        <v>52</v>
      </c>
      <c r="E4" s="8">
        <v>60</v>
      </c>
    </row>
    <row r="5" spans="3:5" x14ac:dyDescent="0.3">
      <c r="C5" t="s">
        <v>4</v>
      </c>
      <c r="D5" s="4">
        <v>2</v>
      </c>
      <c r="E5">
        <v>2</v>
      </c>
    </row>
    <row r="6" spans="3:5" x14ac:dyDescent="0.3">
      <c r="C6" t="s">
        <v>5</v>
      </c>
      <c r="D6" s="4">
        <v>104</v>
      </c>
      <c r="E6">
        <v>120</v>
      </c>
    </row>
    <row r="7" spans="3:5" x14ac:dyDescent="0.3">
      <c r="C7" s="8" t="s">
        <v>7</v>
      </c>
      <c r="D7" s="8">
        <v>10</v>
      </c>
      <c r="E7" s="8">
        <v>40</v>
      </c>
    </row>
    <row r="8" spans="3:5" x14ac:dyDescent="0.3">
      <c r="C8" t="s">
        <v>0</v>
      </c>
      <c r="D8">
        <v>11.999999999999998</v>
      </c>
      <c r="E8">
        <v>16</v>
      </c>
    </row>
    <row r="9" spans="3:5" x14ac:dyDescent="0.3">
      <c r="C9" t="s">
        <v>1</v>
      </c>
      <c r="D9">
        <v>1.1999999999999997</v>
      </c>
      <c r="E9">
        <v>0.4</v>
      </c>
    </row>
    <row r="10" spans="3:5" x14ac:dyDescent="0.3">
      <c r="C10" t="s">
        <v>2</v>
      </c>
      <c r="D10">
        <v>14.399999999999995</v>
      </c>
      <c r="E10">
        <v>6.4</v>
      </c>
    </row>
    <row r="11" spans="3:5" x14ac:dyDescent="0.3">
      <c r="C11" s="8" t="s">
        <v>15</v>
      </c>
      <c r="D11" s="8">
        <v>15</v>
      </c>
      <c r="E11" s="8">
        <v>10</v>
      </c>
    </row>
    <row r="12" spans="3:5" x14ac:dyDescent="0.3">
      <c r="C12" t="s">
        <v>8</v>
      </c>
      <c r="D12">
        <v>11.999999999999998</v>
      </c>
      <c r="E12">
        <v>16</v>
      </c>
    </row>
    <row r="13" spans="3:5" x14ac:dyDescent="0.3">
      <c r="C13" t="s">
        <v>9</v>
      </c>
      <c r="D13">
        <v>0.79999999999999993</v>
      </c>
      <c r="E13">
        <v>1.6</v>
      </c>
    </row>
    <row r="14" spans="3:5" x14ac:dyDescent="0.3">
      <c r="C14" t="s">
        <v>10</v>
      </c>
      <c r="D14">
        <v>9.5999999999999979</v>
      </c>
      <c r="E14">
        <v>25.6</v>
      </c>
    </row>
    <row r="15" spans="3:5" x14ac:dyDescent="0.3">
      <c r="C15" s="8" t="s">
        <v>11</v>
      </c>
      <c r="D15" s="8">
        <v>20</v>
      </c>
      <c r="E15" s="8">
        <v>22</v>
      </c>
    </row>
    <row r="16" spans="3:5" x14ac:dyDescent="0.3">
      <c r="C16" t="s">
        <v>12</v>
      </c>
      <c r="D16">
        <v>40</v>
      </c>
      <c r="E16">
        <v>44</v>
      </c>
    </row>
    <row r="17" spans="3:5" x14ac:dyDescent="0.3">
      <c r="C17" t="s">
        <v>13</v>
      </c>
      <c r="D17">
        <v>2</v>
      </c>
      <c r="E17">
        <v>2</v>
      </c>
    </row>
    <row r="18" spans="3:5" x14ac:dyDescent="0.3">
      <c r="C18" t="s">
        <v>14</v>
      </c>
      <c r="D18">
        <v>80</v>
      </c>
      <c r="E18">
        <v>88</v>
      </c>
    </row>
    <row r="19" spans="3:5" x14ac:dyDescent="0.3">
      <c r="C19" t="s">
        <v>27</v>
      </c>
      <c r="D19">
        <v>5.9999999999999991</v>
      </c>
      <c r="E19">
        <v>8</v>
      </c>
    </row>
    <row r="20" spans="3:5" x14ac:dyDescent="0.3">
      <c r="C20" t="s">
        <v>28</v>
      </c>
      <c r="D20">
        <v>11.999999999999998</v>
      </c>
      <c r="E20">
        <v>16</v>
      </c>
    </row>
    <row r="21" spans="3:5" x14ac:dyDescent="0.3">
      <c r="C21" t="s">
        <v>29</v>
      </c>
      <c r="D21">
        <v>2</v>
      </c>
      <c r="E2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10F94-F99E-4507-813C-DED7AC8A399F}">
  <dimension ref="B3:L19"/>
  <sheetViews>
    <sheetView workbookViewId="0">
      <selection activeCell="I20" sqref="I20"/>
    </sheetView>
  </sheetViews>
  <sheetFormatPr baseColWidth="10" defaultRowHeight="14.4" x14ac:dyDescent="0.3"/>
  <cols>
    <col min="2" max="2" width="3" bestFit="1" customWidth="1"/>
    <col min="3" max="3" width="7.6640625" customWidth="1"/>
    <col min="5" max="5" width="3.33203125" bestFit="1" customWidth="1"/>
    <col min="6" max="6" width="7.6640625" customWidth="1"/>
    <col min="8" max="8" width="4.33203125" bestFit="1" customWidth="1"/>
    <col min="9" max="9" width="7.6640625" customWidth="1"/>
    <col min="11" max="11" width="4.33203125" bestFit="1" customWidth="1"/>
    <col min="12" max="12" width="7.6640625" customWidth="1"/>
    <col min="14" max="14" width="4.33203125" bestFit="1" customWidth="1"/>
  </cols>
  <sheetData>
    <row r="3" spans="2:12" x14ac:dyDescent="0.3">
      <c r="B3" s="1" t="s">
        <v>6</v>
      </c>
      <c r="C3" s="2">
        <f>L14+L9</f>
        <v>17.999999999999996</v>
      </c>
      <c r="E3" s="1" t="s">
        <v>7</v>
      </c>
      <c r="F3" s="2">
        <f>I16</f>
        <v>10</v>
      </c>
      <c r="H3" s="1" t="s">
        <v>15</v>
      </c>
      <c r="I3" s="2">
        <f>I17</f>
        <v>15</v>
      </c>
      <c r="K3" s="1" t="s">
        <v>11</v>
      </c>
      <c r="L3" s="2">
        <f>I18</f>
        <v>20</v>
      </c>
    </row>
    <row r="4" spans="2:12" x14ac:dyDescent="0.3">
      <c r="B4" s="1" t="s">
        <v>3</v>
      </c>
      <c r="C4" s="2">
        <f>I15</f>
        <v>36</v>
      </c>
      <c r="E4" s="1" t="s">
        <v>0</v>
      </c>
      <c r="F4" s="2">
        <f>L10</f>
        <v>12</v>
      </c>
      <c r="H4" s="1" t="s">
        <v>8</v>
      </c>
      <c r="I4" s="2">
        <f>L10</f>
        <v>12</v>
      </c>
      <c r="K4" s="1" t="s">
        <v>12</v>
      </c>
      <c r="L4" s="2">
        <f>L15</f>
        <v>24</v>
      </c>
    </row>
    <row r="5" spans="2:12" x14ac:dyDescent="0.3">
      <c r="B5" s="1" t="s">
        <v>4</v>
      </c>
      <c r="C5" s="3">
        <f>C4/C3</f>
        <v>2.0000000000000004</v>
      </c>
      <c r="E5" s="1" t="s">
        <v>1</v>
      </c>
      <c r="F5" s="2">
        <f>F4/F3</f>
        <v>1.2</v>
      </c>
      <c r="H5" s="1" t="s">
        <v>9</v>
      </c>
      <c r="I5" s="2">
        <f>I4/I3</f>
        <v>0.8</v>
      </c>
      <c r="K5" s="1" t="s">
        <v>13</v>
      </c>
      <c r="L5" s="2">
        <f>L4/L3</f>
        <v>1.2</v>
      </c>
    </row>
    <row r="6" spans="2:12" x14ac:dyDescent="0.3">
      <c r="B6" s="1" t="s">
        <v>5</v>
      </c>
      <c r="C6" s="2">
        <f>C4*C5</f>
        <v>72.000000000000014</v>
      </c>
      <c r="E6" s="1" t="s">
        <v>2</v>
      </c>
      <c r="F6" s="2">
        <f>F4*F5</f>
        <v>14.399999999999999</v>
      </c>
      <c r="H6" s="1" t="s">
        <v>10</v>
      </c>
      <c r="I6" s="2">
        <f>I4*I5</f>
        <v>9.6000000000000014</v>
      </c>
      <c r="K6" s="1" t="s">
        <v>14</v>
      </c>
      <c r="L6" s="2">
        <f>L4*L5</f>
        <v>28.799999999999997</v>
      </c>
    </row>
    <row r="9" spans="2:12" x14ac:dyDescent="0.3">
      <c r="H9" s="1" t="s">
        <v>19</v>
      </c>
      <c r="I9" s="2">
        <f>I19</f>
        <v>30</v>
      </c>
      <c r="K9" s="5" t="s">
        <v>16</v>
      </c>
      <c r="L9" s="5">
        <f>1/((1/I16)+(1/I17))</f>
        <v>5.9999999999999991</v>
      </c>
    </row>
    <row r="10" spans="2:12" x14ac:dyDescent="0.3">
      <c r="H10" s="1" t="s">
        <v>20</v>
      </c>
      <c r="I10" s="2">
        <f>L15</f>
        <v>24</v>
      </c>
      <c r="K10" s="5" t="s">
        <v>17</v>
      </c>
      <c r="L10" s="5">
        <f>L9*L11</f>
        <v>12</v>
      </c>
    </row>
    <row r="11" spans="2:12" x14ac:dyDescent="0.3">
      <c r="H11" s="1" t="s">
        <v>21</v>
      </c>
      <c r="I11" s="2">
        <f>I10/I9</f>
        <v>0.8</v>
      </c>
      <c r="K11" s="5" t="s">
        <v>18</v>
      </c>
      <c r="L11" s="6">
        <f>C5</f>
        <v>2.0000000000000004</v>
      </c>
    </row>
    <row r="12" spans="2:12" x14ac:dyDescent="0.3">
      <c r="H12" s="1" t="s">
        <v>22</v>
      </c>
      <c r="I12" s="2">
        <f>I10*I11</f>
        <v>19.200000000000003</v>
      </c>
    </row>
    <row r="14" spans="2:12" x14ac:dyDescent="0.3">
      <c r="K14" s="5" t="s">
        <v>23</v>
      </c>
      <c r="L14" s="5">
        <f>1/((1/I18)+(1/I19))</f>
        <v>11.999999999999998</v>
      </c>
    </row>
    <row r="15" spans="2:12" x14ac:dyDescent="0.3">
      <c r="H15" t="s">
        <v>3</v>
      </c>
      <c r="I15">
        <v>36</v>
      </c>
      <c r="K15" s="5" t="s">
        <v>24</v>
      </c>
      <c r="L15" s="5">
        <f>L14*L16</f>
        <v>24</v>
      </c>
    </row>
    <row r="16" spans="2:12" x14ac:dyDescent="0.3">
      <c r="H16" t="s">
        <v>7</v>
      </c>
      <c r="I16">
        <v>10</v>
      </c>
      <c r="K16" s="5" t="s">
        <v>25</v>
      </c>
      <c r="L16" s="7">
        <f>C5</f>
        <v>2.0000000000000004</v>
      </c>
    </row>
    <row r="17" spans="8:9" x14ac:dyDescent="0.3">
      <c r="H17" t="s">
        <v>15</v>
      </c>
      <c r="I17">
        <v>15</v>
      </c>
    </row>
    <row r="18" spans="8:9" x14ac:dyDescent="0.3">
      <c r="H18" t="s">
        <v>11</v>
      </c>
      <c r="I18">
        <v>20</v>
      </c>
    </row>
    <row r="19" spans="8:9" x14ac:dyDescent="0.3">
      <c r="H19" t="s">
        <v>19</v>
      </c>
      <c r="I19">
        <v>30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03281-45E2-4C2D-8430-0AE8638E811E}">
  <dimension ref="B1:D27"/>
  <sheetViews>
    <sheetView tabSelected="1" workbookViewId="0">
      <selection activeCell="H12" sqref="H12"/>
    </sheetView>
  </sheetViews>
  <sheetFormatPr baseColWidth="10" defaultRowHeight="14.4" x14ac:dyDescent="0.3"/>
  <cols>
    <col min="2" max="17" width="6.6640625" customWidth="1"/>
  </cols>
  <sheetData>
    <row r="1" spans="2:4" x14ac:dyDescent="0.3">
      <c r="C1" t="s">
        <v>26</v>
      </c>
      <c r="D1" t="s">
        <v>30</v>
      </c>
    </row>
    <row r="2" spans="2:4" x14ac:dyDescent="0.3">
      <c r="B2" t="s">
        <v>6</v>
      </c>
      <c r="C2">
        <v>17.999999999999996</v>
      </c>
      <c r="D2">
        <v>19.5</v>
      </c>
    </row>
    <row r="3" spans="2:4" x14ac:dyDescent="0.3">
      <c r="B3" s="8" t="s">
        <v>3</v>
      </c>
      <c r="C3" s="10">
        <v>36</v>
      </c>
      <c r="D3" s="8">
        <v>78</v>
      </c>
    </row>
    <row r="4" spans="2:4" x14ac:dyDescent="0.3">
      <c r="B4" t="s">
        <v>4</v>
      </c>
      <c r="C4">
        <v>2.0000000000000004</v>
      </c>
      <c r="D4">
        <v>4</v>
      </c>
    </row>
    <row r="5" spans="2:4" x14ac:dyDescent="0.3">
      <c r="B5" t="s">
        <v>5</v>
      </c>
      <c r="C5">
        <v>72.000000000000014</v>
      </c>
      <c r="D5">
        <v>312</v>
      </c>
    </row>
    <row r="6" spans="2:4" x14ac:dyDescent="0.3">
      <c r="B6" s="8" t="s">
        <v>7</v>
      </c>
      <c r="C6" s="10">
        <v>10</v>
      </c>
      <c r="D6" s="8">
        <v>12</v>
      </c>
    </row>
    <row r="7" spans="2:4" x14ac:dyDescent="0.3">
      <c r="B7" t="s">
        <v>0</v>
      </c>
      <c r="C7">
        <v>12</v>
      </c>
      <c r="D7">
        <v>30</v>
      </c>
    </row>
    <row r="8" spans="2:4" x14ac:dyDescent="0.3">
      <c r="B8" t="s">
        <v>1</v>
      </c>
      <c r="C8">
        <v>1.2</v>
      </c>
      <c r="D8">
        <v>2.5</v>
      </c>
    </row>
    <row r="9" spans="2:4" x14ac:dyDescent="0.3">
      <c r="B9" t="s">
        <v>2</v>
      </c>
      <c r="C9">
        <v>14.399999999999999</v>
      </c>
      <c r="D9">
        <v>75</v>
      </c>
    </row>
    <row r="10" spans="2:4" x14ac:dyDescent="0.3">
      <c r="B10" s="8" t="s">
        <v>15</v>
      </c>
      <c r="C10" s="10">
        <v>15</v>
      </c>
      <c r="D10" s="8">
        <v>20</v>
      </c>
    </row>
    <row r="11" spans="2:4" x14ac:dyDescent="0.3">
      <c r="B11" t="s">
        <v>8</v>
      </c>
      <c r="C11">
        <v>12</v>
      </c>
      <c r="D11">
        <v>30</v>
      </c>
    </row>
    <row r="12" spans="2:4" x14ac:dyDescent="0.3">
      <c r="B12" t="s">
        <v>9</v>
      </c>
      <c r="C12">
        <v>0.8</v>
      </c>
      <c r="D12">
        <v>1.5</v>
      </c>
    </row>
    <row r="13" spans="2:4" x14ac:dyDescent="0.3">
      <c r="B13" t="s">
        <v>10</v>
      </c>
      <c r="C13">
        <v>9.6000000000000014</v>
      </c>
      <c r="D13">
        <v>45</v>
      </c>
    </row>
    <row r="14" spans="2:4" x14ac:dyDescent="0.3">
      <c r="B14" s="8" t="s">
        <v>11</v>
      </c>
      <c r="C14" s="10">
        <v>20</v>
      </c>
      <c r="D14" s="8">
        <v>20</v>
      </c>
    </row>
    <row r="15" spans="2:4" x14ac:dyDescent="0.3">
      <c r="B15" t="s">
        <v>12</v>
      </c>
      <c r="C15">
        <v>24</v>
      </c>
      <c r="D15">
        <v>47.999999999999993</v>
      </c>
    </row>
    <row r="16" spans="2:4" x14ac:dyDescent="0.3">
      <c r="B16" t="s">
        <v>13</v>
      </c>
      <c r="C16">
        <v>1.2</v>
      </c>
      <c r="D16">
        <v>2.3999999999999995</v>
      </c>
    </row>
    <row r="17" spans="2:4" x14ac:dyDescent="0.3">
      <c r="B17" t="s">
        <v>14</v>
      </c>
      <c r="C17">
        <v>28.799999999999997</v>
      </c>
      <c r="D17">
        <v>115.19999999999996</v>
      </c>
    </row>
    <row r="18" spans="2:4" x14ac:dyDescent="0.3">
      <c r="B18" s="8" t="s">
        <v>19</v>
      </c>
      <c r="C18" s="10">
        <v>30</v>
      </c>
      <c r="D18" s="8">
        <v>30</v>
      </c>
    </row>
    <row r="19" spans="2:4" x14ac:dyDescent="0.3">
      <c r="B19" t="s">
        <v>20</v>
      </c>
      <c r="C19">
        <v>24</v>
      </c>
      <c r="D19">
        <v>47.999999999999993</v>
      </c>
    </row>
    <row r="20" spans="2:4" x14ac:dyDescent="0.3">
      <c r="B20" t="s">
        <v>21</v>
      </c>
      <c r="C20">
        <v>0.8</v>
      </c>
      <c r="D20">
        <v>1.5999999999999999</v>
      </c>
    </row>
    <row r="21" spans="2:4" x14ac:dyDescent="0.3">
      <c r="B21" t="s">
        <v>22</v>
      </c>
      <c r="C21">
        <v>19.200000000000003</v>
      </c>
      <c r="D21">
        <v>76.799999999999983</v>
      </c>
    </row>
    <row r="22" spans="2:4" x14ac:dyDescent="0.3">
      <c r="B22" t="s">
        <v>27</v>
      </c>
      <c r="C22">
        <v>5.9999999999999991</v>
      </c>
      <c r="D22">
        <v>7.5</v>
      </c>
    </row>
    <row r="23" spans="2:4" x14ac:dyDescent="0.3">
      <c r="B23" t="s">
        <v>28</v>
      </c>
      <c r="C23">
        <v>12</v>
      </c>
      <c r="D23">
        <v>30</v>
      </c>
    </row>
    <row r="24" spans="2:4" x14ac:dyDescent="0.3">
      <c r="B24" t="s">
        <v>29</v>
      </c>
      <c r="C24">
        <v>2.0000000000000004</v>
      </c>
      <c r="D24">
        <v>4</v>
      </c>
    </row>
    <row r="25" spans="2:4" x14ac:dyDescent="0.3">
      <c r="B25" t="s">
        <v>31</v>
      </c>
      <c r="C25">
        <v>11.999999999999998</v>
      </c>
      <c r="D25">
        <v>11.999999999999998</v>
      </c>
    </row>
    <row r="26" spans="2:4" x14ac:dyDescent="0.3">
      <c r="B26" t="s">
        <v>32</v>
      </c>
      <c r="C26">
        <v>24</v>
      </c>
      <c r="D26">
        <v>47.999999999999993</v>
      </c>
    </row>
    <row r="27" spans="2:4" x14ac:dyDescent="0.3">
      <c r="B27" t="s">
        <v>33</v>
      </c>
      <c r="C27">
        <v>2.0000000000000004</v>
      </c>
      <c r="D2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PS3</vt:lpstr>
      <vt:lpstr>ps3 respuestas</vt:lpstr>
      <vt:lpstr>PS4</vt:lpstr>
      <vt:lpstr>ps4 respuestas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Aguirre</dc:creator>
  <cp:lastModifiedBy>Guillermo AntonioAguirre</cp:lastModifiedBy>
  <dcterms:created xsi:type="dcterms:W3CDTF">2015-06-05T18:19:34Z</dcterms:created>
  <dcterms:modified xsi:type="dcterms:W3CDTF">2025-10-07T15:50:58Z</dcterms:modified>
</cp:coreProperties>
</file>