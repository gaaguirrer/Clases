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Guillermo Aguirre\OneDrive - UNP Universidad Nacional Politécnica\Clases\Materias\Introducción a la Electrónica\"/>
    </mc:Choice>
  </mc:AlternateContent>
  <xr:revisionPtr revIDLastSave="0" documentId="13_ncr:1_{90A830E2-B4E9-4E92-9135-F5905F8E9A4E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Asistencia" sheetId="4" r:id="rId1"/>
    <sheet name="Notas" sheetId="3" r:id="rId2"/>
    <sheet name="calif" sheetId="5" r:id="rId3"/>
    <sheet name="Hoja6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6" l="1"/>
  <c r="H5" i="6"/>
  <c r="G5" i="6"/>
  <c r="F5" i="6"/>
  <c r="E5" i="6"/>
  <c r="D5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E4" i="5"/>
  <c r="F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AB4" i="3"/>
  <c r="AB5" i="3"/>
  <c r="AB6" i="3"/>
  <c r="AB7" i="3"/>
  <c r="AB8" i="3"/>
  <c r="AB9" i="3"/>
</calcChain>
</file>

<file path=xl/sharedStrings.xml><?xml version="1.0" encoding="utf-8"?>
<sst xmlns="http://schemas.openxmlformats.org/spreadsheetml/2006/main" count="135" uniqueCount="77">
  <si>
    <t>Grupo</t>
  </si>
  <si>
    <t>Estudiante</t>
  </si>
  <si>
    <t>Alvarado Angulo Julissa Esmilsen</t>
  </si>
  <si>
    <t>Aragón Molina Alvaro Stanley</t>
  </si>
  <si>
    <t>Baldelomar Hurtado Miguel Antonio</t>
  </si>
  <si>
    <t>Bendaña Barraza Josue Abrahan</t>
  </si>
  <si>
    <t>Carmona Jimenez Exel Antonio</t>
  </si>
  <si>
    <t>Castillo Aburto Kenyer Smith</t>
  </si>
  <si>
    <t>Castillo Briceño José Miguel</t>
  </si>
  <si>
    <t>Castro Rivera Heiner Fabián</t>
  </si>
  <si>
    <t>Chavarria Rios Gael Antonio</t>
  </si>
  <si>
    <t>Dominguez Sánchez José Miguel</t>
  </si>
  <si>
    <t>Flores Espinoza Junior David</t>
  </si>
  <si>
    <t>García Zapata Wilmar Francisco</t>
  </si>
  <si>
    <t>Gonzalez Guillen Lerickson Samir</t>
  </si>
  <si>
    <t>Guerrero Chamorro Derick Enrique</t>
  </si>
  <si>
    <t>Gutierrez Espinoza Wilfredo Esteban</t>
  </si>
  <si>
    <t>Kraudy Aviles Rodolfo Bladimir</t>
  </si>
  <si>
    <t>Largaespada Avilés Cid Anakin</t>
  </si>
  <si>
    <t>Martínez Pérez Mario José</t>
  </si>
  <si>
    <t>Mendoza Matamoros Henry Moisés</t>
  </si>
  <si>
    <t xml:space="preserve">	Morice Ruiz Kevin Humberto</t>
  </si>
  <si>
    <t>Muñiz López Kelvin Gabriel</t>
  </si>
  <si>
    <t>Obando Solis Geovanny Eduardo</t>
  </si>
  <si>
    <t>Obregón Rivas Anthony David</t>
  </si>
  <si>
    <t>Ortega Marín Darwin Andres</t>
  </si>
  <si>
    <t>Rodríguez Paniagua Justo Antoni0</t>
  </si>
  <si>
    <t>Rugama Martinez Ramón Ernesto</t>
  </si>
  <si>
    <t>Ruiz Berroteran Derek Miguel</t>
  </si>
  <si>
    <t>Ruiz López Argentina Karolina</t>
  </si>
  <si>
    <t>Ruiz Vilchez Fret Alexander</t>
  </si>
  <si>
    <t>Sandino Gonzalez Mayerlis Samantha</t>
  </si>
  <si>
    <t>Vallejos Tijerino Carlos Alberto</t>
  </si>
  <si>
    <t>Varela Espinoza Randall Rodman</t>
  </si>
  <si>
    <t>Villarreal Gago Kevin Gabriel</t>
  </si>
  <si>
    <t>Zapata Jimenez Jordan Francisco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</si>
  <si>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</si>
  <si>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</si>
  <si>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</si>
  <si>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</si>
  <si>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</si>
  <si>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</si>
  <si>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</si>
  <si>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</si>
  <si>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</si>
  <si>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</si>
  <si>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</si>
  <si>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</si>
  <si>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</si>
  <si>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</si>
  <si>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</si>
  <si>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</si>
  <si>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</si>
  <si>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</si>
  <si>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</si>
  <si>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</si>
  <si>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</si>
  <si>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</si>
  <si>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N4</t>
  </si>
  <si>
    <t>N5</t>
  </si>
  <si>
    <t>N6</t>
  </si>
  <si>
    <t>NP2</t>
  </si>
  <si>
    <t>EP2</t>
  </si>
  <si>
    <t>23</t>
  </si>
  <si>
    <t>24</t>
  </si>
  <si>
    <t>25</t>
  </si>
  <si>
    <t>Total</t>
  </si>
  <si>
    <t>Carnet</t>
  </si>
  <si>
    <t>Escriba su carnet</t>
  </si>
  <si>
    <t>NO ESCRIBA NADA EN EL ÁREA GRIS</t>
  </si>
  <si>
    <t>Nombre</t>
  </si>
  <si>
    <t>Nota 4</t>
  </si>
  <si>
    <t>Nota 5</t>
  </si>
  <si>
    <t>Nota 6</t>
  </si>
  <si>
    <t>Examen</t>
  </si>
  <si>
    <t>Nota Parcial 2</t>
  </si>
  <si>
    <t>Al terminar de consultar su nota Borre su carnet Antes de cerrar 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</si>
</sst>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D9B54-A8CE-4C89-B3C3-2D5E49FC875C}" name="Tabla4" displayName="Tabla4" ref="B4:Y39" totalsRowShown="0">
  <autoFilter ref="B4:Y39" xr:uid="{A3AD9B54-A8CE-4C89-B3C3-2D5E49FC875C}"/>
  <tableColumns count="24">
    <tableColumn id="2" xr3:uid="{5C763874-BEA6-4AEF-9BEF-55F58BC08072}" name="Estudiante"/>
    <tableColumn id="25" xr3:uid="{0F248E63-6220-486D-85B3-3CF43FFCBAC5}" name="Grupo"/>
    <tableColumn id="3" xr3:uid="{CF69F846-CEB9-424C-B176-217F81CDC793}" name="1"/>
    <tableColumn id="4" xr3:uid="{BE5673A9-6ABC-4E28-9F71-AB0D301C71EE}" name="2"/>
    <tableColumn id="5" xr3:uid="{6D3CE99D-8878-4ADB-A9B4-2E5AF15D5FA1}" name="3"/>
    <tableColumn id="6" xr3:uid="{D19A134A-DFFE-4523-BA28-9674275D6564}" name="4"/>
    <tableColumn id="7" xr3:uid="{8FC8DFD1-1A5F-4995-B906-7904CD222A5C}" name="5"/>
    <tableColumn id="8" xr3:uid="{2B464A2F-0E19-4CDA-A048-FDB76C6D0A77}" name="6"/>
    <tableColumn id="9" xr3:uid="{4063F42A-AA93-4A38-A5CA-6FD3CF135D17}" name="7"/>
    <tableColumn id="10" xr3:uid="{075F1A15-D12D-4DC0-9731-AEFFDCB5CE75}" name="8"/>
    <tableColumn id="11" xr3:uid="{21F81711-EBFD-4ECA-A2E3-8D637F5CC4C6}" name="9"/>
    <tableColumn id="12" xr3:uid="{CBE6F494-16D3-426C-BF0F-ACE265908C8A}" name="10"/>
    <tableColumn id="13" xr3:uid="{E003B5A9-32CB-449D-96CB-944D8706E0ED}" name="11"/>
    <tableColumn id="14" xr3:uid="{CD25BFCB-94E4-41E8-B2A6-E564EAE60EE8}" name="12"/>
    <tableColumn id="15" xr3:uid="{7A96C09B-8C98-4BF3-8E3C-80563661A2B9}" name="13"/>
    <tableColumn id="16" xr3:uid="{71A07DA1-4BA9-4C67-BEC5-CD1547850E53}" name="14"/>
    <tableColumn id="17" xr3:uid="{01AF1751-1CCD-4E68-B203-7C2429253FD1}" name="15"/>
    <tableColumn id="18" xr3:uid="{8F719105-586F-46A3-906D-6ED42CC3059A}" name="16"/>
    <tableColumn id="19" xr3:uid="{6D127B78-F38D-4AC3-8918-96DA393899B1}" name="17"/>
    <tableColumn id="20" xr3:uid="{040D1E49-3B92-4400-804B-C5C28BDFBA85}" name="18"/>
    <tableColumn id="21" xr3:uid="{0491F1E4-F318-4A57-914E-0DDE67FBC724}" name="19"/>
    <tableColumn id="22" xr3:uid="{1456BC97-6F98-40BB-B42B-72C7CAC4C613}" name="20"/>
    <tableColumn id="23" xr3:uid="{3C77DFFD-24CE-4B05-9F57-6FF8874B4340}" name="21"/>
    <tableColumn id="24" xr3:uid="{2BCC7BFF-9F4C-4BA8-9FA0-2C8BF98BDB4C}" name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516E10-C384-482F-9C4F-93D1550D3427}" name="Tabla5" displayName="Tabla5" ref="B3:AB9" totalsRowShown="0">
  <autoFilter ref="B3:AB9" xr:uid="{FE516E10-C384-482F-9C4F-93D1550D3427}"/>
  <tableColumns count="27">
    <tableColumn id="1" xr3:uid="{DFEB07C7-E1AF-4912-98C5-312CEEB31720}" name="Grupo"/>
    <tableColumn id="2" xr3:uid="{49403328-8395-40BF-9BFC-2486825F679F}" name="1"/>
    <tableColumn id="3" xr3:uid="{C855486F-4F2C-44C1-9E66-E4E8D698421E}" name="2"/>
    <tableColumn id="4" xr3:uid="{53526A92-41B0-4323-9283-F8BC6E918BAA}" name="3"/>
    <tableColumn id="5" xr3:uid="{40AB5552-E330-4046-A211-2C2C3ECDAF2A}" name="4"/>
    <tableColumn id="6" xr3:uid="{AF9AEBB3-C827-4DDD-A367-E7889D6A9C98}" name="5"/>
    <tableColumn id="7" xr3:uid="{96E2ECD5-7288-4A97-829C-75ECB8C3BF54}" name="6"/>
    <tableColumn id="8" xr3:uid="{ADED2B87-46D9-4D1B-A790-D77CEC933C54}" name="7"/>
    <tableColumn id="9" xr3:uid="{FAA91D5E-3E1C-4FC7-91A3-497EA2AF52E7}" name="8"/>
    <tableColumn id="10" xr3:uid="{B5B9036C-4092-4129-8100-A8CF59721003}" name="9"/>
    <tableColumn id="11" xr3:uid="{BD82A04C-2A49-4EC1-A076-B2017C22445F}" name="10"/>
    <tableColumn id="12" xr3:uid="{2A2E60BC-F31E-4C51-87B8-E0BF8131C6D7}" name="11"/>
    <tableColumn id="13" xr3:uid="{F16F7635-2A7A-42D2-8AFE-B2DA92CD9352}" name="12"/>
    <tableColumn id="14" xr3:uid="{AF07CD67-E603-4DDA-A15D-553030F22FAF}" name="13"/>
    <tableColumn id="15" xr3:uid="{7C509A13-9117-45BB-A115-BE3D0236277A}" name="14"/>
    <tableColumn id="16" xr3:uid="{E13A31F5-6CD9-48BB-B731-D27910778A52}" name="15"/>
    <tableColumn id="17" xr3:uid="{14EAFB67-72D3-4DAB-B336-83BCC042FCDF}" name="16"/>
    <tableColumn id="18" xr3:uid="{4E41B349-2FA8-45E5-B6C3-B905E2ABBB22}" name="17"/>
    <tableColumn id="19" xr3:uid="{9D529B45-FDEC-45AC-B50E-BC32C9A53921}" name="18"/>
    <tableColumn id="20" xr3:uid="{BCF1AA07-E199-45C0-9939-1B5037B6A4D5}" name="19"/>
    <tableColumn id="21" xr3:uid="{B16CF461-A83B-474F-A7FA-2B28A65824C0}" name="20"/>
    <tableColumn id="22" xr3:uid="{4AE9DED6-6728-4760-A2A1-7478937A85AE}" name="21"/>
    <tableColumn id="23" xr3:uid="{8E5EADE4-176B-4BFA-AF50-412B1D34F0F1}" name="22"/>
    <tableColumn id="24" xr3:uid="{2908FFFF-5ED7-427D-941D-102615A11D5E}" name="23"/>
    <tableColumn id="25" xr3:uid="{5666799E-06F0-4940-BB39-39D04626E3CE}" name="24"/>
    <tableColumn id="26" xr3:uid="{743E1E2E-0555-4594-ACD8-1C474A046FFD}" name="25"/>
    <tableColumn id="27" xr3:uid="{0C1B0329-5945-48F9-95B9-A4C8A691DA9E}" name="Total" dataDxfId="3">
      <calculatedColumnFormula>IF(COUNTA(Tabla5[[#This Row],[1]:[25]])=0,"",SUM(Tabla5[[#This Row],[1]:[25]])/COUNTA(Tabla5[[#This Row],[1]:[25]]))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2D5949-348F-4410-ACA8-971DCEDDDC9E}" name="Tabla6" displayName="Tabla6" ref="B3:H37" totalsRowShown="0">
  <autoFilter ref="B3:H37" xr:uid="{712D5949-348F-4410-ACA8-971DCEDDDC9E}"/>
  <tableColumns count="7">
    <tableColumn id="1" xr3:uid="{CEE051AE-0A43-4A0B-ACA4-0861A63163E7}" name="Carnet"/>
    <tableColumn id="2" xr3:uid="{9393E7D7-58D8-429E-8187-24A87E395763}" name="Estudiante"/>
    <tableColumn id="3" xr3:uid="{3150F2FA-7DBB-4C3B-9A30-7DD9EAD4C883}" name="N4" dataDxfId="2">
      <calculatedColumnFormula>VLOOKUP(VLOOKUP($C4,Tabla4[#All],2,FALSE),Tabla5[#All],27,FALSE)</calculatedColumnFormula>
    </tableColumn>
    <tableColumn id="4" xr3:uid="{4321F3E3-04FF-4E8A-8E08-BE4D5F5CD815}" name="N5">
      <calculatedColumnFormula>VLOOKUP(VLOOKUP($C4,Tabla4[#All],2,FALSE),Tabla5[#All],27,FALSE)</calculatedColumnFormula>
    </tableColumn>
    <tableColumn id="5" xr3:uid="{D2F1C4E3-8D49-4A35-8BA4-763453CD2F3F}" name="N6">
      <calculatedColumnFormula>VLOOKUP(VLOOKUP($C4,Tabla4[#All],2,FALSE),Tabla5[#All],27,FALSE)</calculatedColumnFormula>
    </tableColumn>
    <tableColumn id="6" xr3:uid="{06CBE671-E50B-4BF1-BBD3-4BFC5E2997E5}" name="EP2" dataDxfId="1">
      <calculatedColumnFormula>VLOOKUP(VLOOKUP($C4,Tabla4[#All],2,FALSE),Tabla5[#All],27,FALSE)*2</calculatedColumnFormula>
    </tableColumn>
    <tableColumn id="7" xr3:uid="{47DED48D-99D8-4D97-8F85-A99667DC9640}" name="NP2" dataDxfId="0">
      <calculatedColumnFormula>SUM(D4:G4)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9AF8-0D67-4EC6-93C3-5DCC6473B929}">
  <dimension ref="B4:Y38"/>
  <sheetViews>
    <sheetView topLeftCell="A17" workbookViewId="0">
      <selection activeCell="C22" sqref="C22"/>
    </sheetView>
  </sheetViews>
  <sheetFormatPr baseColWidth="10" defaultRowHeight="15" x14ac:dyDescent="0.25"/>
  <cols>
    <col min="2" max="2" width="34.28515625" bestFit="1" customWidth="1"/>
    <col min="3" max="3" width="8.85546875" bestFit="1" customWidth="1"/>
    <col min="4" max="25" width="5.7109375" customWidth="1"/>
  </cols>
  <sheetData>
    <row r="4" spans="2:25" x14ac:dyDescent="0.25">
      <c r="B4" t="s">
        <v>1</v>
      </c>
      <c r="C4" t="s">
        <v>0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</row>
    <row r="5" spans="2:25" x14ac:dyDescent="0.25">
      <c r="B5" t="s">
        <v>2</v>
      </c>
      <c r="C5">
        <v>2</v>
      </c>
    </row>
    <row r="6" spans="2:25" x14ac:dyDescent="0.25">
      <c r="B6" t="s">
        <v>3</v>
      </c>
      <c r="C6">
        <v>1</v>
      </c>
    </row>
    <row r="7" spans="2:25" x14ac:dyDescent="0.25">
      <c r="B7" t="s">
        <v>4</v>
      </c>
    </row>
    <row r="8" spans="2:25" x14ac:dyDescent="0.25">
      <c r="B8" t="s">
        <v>5</v>
      </c>
    </row>
    <row r="9" spans="2:25" x14ac:dyDescent="0.25">
      <c r="B9" t="s">
        <v>6</v>
      </c>
    </row>
    <row r="10" spans="2:25" x14ac:dyDescent="0.25">
      <c r="B10" t="s">
        <v>7</v>
      </c>
    </row>
    <row r="11" spans="2:25" x14ac:dyDescent="0.25">
      <c r="B11" t="s">
        <v>8</v>
      </c>
      <c r="C11">
        <v>1</v>
      </c>
    </row>
    <row r="12" spans="2:25" x14ac:dyDescent="0.25">
      <c r="B12" t="s">
        <v>9</v>
      </c>
      <c r="C12">
        <v>3</v>
      </c>
    </row>
    <row r="13" spans="2:25" x14ac:dyDescent="0.25">
      <c r="B13" t="s">
        <v>10</v>
      </c>
      <c r="C13">
        <v>3</v>
      </c>
    </row>
    <row r="14" spans="2:25" x14ac:dyDescent="0.25">
      <c r="B14" t="s">
        <v>11</v>
      </c>
    </row>
    <row r="15" spans="2:25" x14ac:dyDescent="0.25">
      <c r="B15" t="s">
        <v>12</v>
      </c>
    </row>
    <row r="16" spans="2:25" x14ac:dyDescent="0.25">
      <c r="B16" t="s">
        <v>13</v>
      </c>
    </row>
    <row r="17" spans="2:3" x14ac:dyDescent="0.25">
      <c r="B17" t="s">
        <v>14</v>
      </c>
    </row>
    <row r="18" spans="2:3" x14ac:dyDescent="0.25">
      <c r="B18" t="s">
        <v>15</v>
      </c>
      <c r="C18">
        <v>2</v>
      </c>
    </row>
    <row r="19" spans="2:3" x14ac:dyDescent="0.25">
      <c r="B19" t="s">
        <v>16</v>
      </c>
      <c r="C19">
        <v>2</v>
      </c>
    </row>
    <row r="20" spans="2:3" x14ac:dyDescent="0.25">
      <c r="B20" t="s">
        <v>17</v>
      </c>
      <c r="C20">
        <v>3</v>
      </c>
    </row>
    <row r="21" spans="2:3" x14ac:dyDescent="0.25">
      <c r="B21" t="s">
        <v>18</v>
      </c>
      <c r="C21">
        <v>3</v>
      </c>
    </row>
    <row r="22" spans="2:3" x14ac:dyDescent="0.25">
      <c r="B22" t="s">
        <v>19</v>
      </c>
    </row>
    <row r="23" spans="2:3" x14ac:dyDescent="0.25">
      <c r="B23" t="s">
        <v>20</v>
      </c>
      <c r="C23">
        <v>1</v>
      </c>
    </row>
    <row r="24" spans="2:3" x14ac:dyDescent="0.25">
      <c r="B24" t="s">
        <v>21</v>
      </c>
      <c r="C24">
        <v>1</v>
      </c>
    </row>
    <row r="25" spans="2:3" x14ac:dyDescent="0.25">
      <c r="B25" t="s">
        <v>22</v>
      </c>
      <c r="C25">
        <v>1</v>
      </c>
    </row>
    <row r="26" spans="2:3" x14ac:dyDescent="0.25">
      <c r="B26" t="s">
        <v>23</v>
      </c>
    </row>
    <row r="27" spans="2:3" x14ac:dyDescent="0.25">
      <c r="B27" t="s">
        <v>24</v>
      </c>
    </row>
    <row r="28" spans="2:3" x14ac:dyDescent="0.25">
      <c r="B28" t="s">
        <v>25</v>
      </c>
    </row>
    <row r="29" spans="2:3" x14ac:dyDescent="0.25">
      <c r="B29" t="s">
        <v>26</v>
      </c>
    </row>
    <row r="30" spans="2:3" x14ac:dyDescent="0.25">
      <c r="B30" t="s">
        <v>27</v>
      </c>
      <c r="C30">
        <v>2</v>
      </c>
    </row>
    <row r="31" spans="2:3" x14ac:dyDescent="0.25">
      <c r="B31" t="s">
        <v>28</v>
      </c>
      <c r="C31">
        <v>1</v>
      </c>
    </row>
    <row r="32" spans="2:3" x14ac:dyDescent="0.25">
      <c r="B32" t="s">
        <v>29</v>
      </c>
      <c r="C32">
        <v>2</v>
      </c>
    </row>
    <row r="33" spans="2:3" x14ac:dyDescent="0.25">
      <c r="B33" t="s">
        <v>30</v>
      </c>
      <c r="C33">
        <v>1</v>
      </c>
    </row>
    <row r="34" spans="2:3" x14ac:dyDescent="0.25">
      <c r="B34" t="s">
        <v>31</v>
      </c>
    </row>
    <row r="35" spans="2:3" x14ac:dyDescent="0.25">
      <c r="B35" t="s">
        <v>32</v>
      </c>
      <c r="C35">
        <v>2</v>
      </c>
    </row>
    <row r="36" spans="2:3" x14ac:dyDescent="0.25">
      <c r="B36" t="s">
        <v>33</v>
      </c>
    </row>
    <row r="37" spans="2:3" x14ac:dyDescent="0.25">
      <c r="B37" t="s">
        <v>34</v>
      </c>
    </row>
    <row r="38" spans="2:3" x14ac:dyDescent="0.25">
      <c r="B38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2434-EE50-4131-BA59-A151C17EC5C9}">
  <dimension ref="B3:AB9"/>
  <sheetViews>
    <sheetView workbookViewId="0">
      <selection activeCell="AB4" sqref="AB4"/>
    </sheetView>
  </sheetViews>
  <sheetFormatPr baseColWidth="10" defaultRowHeight="15" x14ac:dyDescent="0.25"/>
  <cols>
    <col min="2" max="2" width="8.85546875" bestFit="1" customWidth="1"/>
    <col min="3" max="27" width="5.7109375" customWidth="1"/>
    <col min="28" max="28" width="8.42578125" bestFit="1" customWidth="1"/>
  </cols>
  <sheetData>
    <row r="3" spans="2:28" x14ac:dyDescent="0.25">
      <c r="B3" t="s">
        <v>0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63</v>
      </c>
      <c r="Z3" t="s">
        <v>64</v>
      </c>
      <c r="AA3" t="s">
        <v>65</v>
      </c>
      <c r="AB3" t="s">
        <v>66</v>
      </c>
    </row>
    <row r="4" spans="2:28" x14ac:dyDescent="0.25">
      <c r="B4">
        <v>1</v>
      </c>
      <c r="C4">
        <v>10</v>
      </c>
      <c r="AB4">
        <f>IF(COUNTA(Tabla5[[#This Row],[1]:[25]])=0,"",SUM(Tabla5[[#This Row],[1]:[25]])/COUNTA(Tabla5[[#This Row],[1]:[25]]))</f>
        <v>10</v>
      </c>
    </row>
    <row r="5" spans="2:28" x14ac:dyDescent="0.25">
      <c r="B5">
        <v>2</v>
      </c>
      <c r="C5">
        <v>10</v>
      </c>
      <c r="AB5">
        <f>IF(COUNTA(Tabla5[[#This Row],[1]:[25]])=0,"",SUM(Tabla5[[#This Row],[1]:[25]])/COUNTA(Tabla5[[#This Row],[1]:[25]]))</f>
        <v>10</v>
      </c>
    </row>
    <row r="6" spans="2:28" x14ac:dyDescent="0.25">
      <c r="B6">
        <v>3</v>
      </c>
      <c r="C6">
        <v>10</v>
      </c>
      <c r="AB6">
        <f>IF(COUNTA(Tabla5[[#This Row],[1]:[25]])=0,"",SUM(Tabla5[[#This Row],[1]:[25]])/COUNTA(Tabla5[[#This Row],[1]:[25]]))</f>
        <v>10</v>
      </c>
    </row>
    <row r="7" spans="2:28" x14ac:dyDescent="0.25">
      <c r="B7">
        <v>4</v>
      </c>
      <c r="C7">
        <v>10</v>
      </c>
      <c r="AB7">
        <f>IF(COUNTA(Tabla5[[#This Row],[1]:[25]])=0,"",SUM(Tabla5[[#This Row],[1]:[25]])/COUNTA(Tabla5[[#This Row],[1]:[25]]))</f>
        <v>10</v>
      </c>
    </row>
    <row r="8" spans="2:28" x14ac:dyDescent="0.25">
      <c r="B8">
        <v>5</v>
      </c>
      <c r="AB8" t="str">
        <f>IF(COUNTA(Tabla5[[#This Row],[1]:[25]])=0,"",SUM(Tabla5[[#This Row],[1]:[25]])/COUNTA(Tabla5[[#This Row],[1]:[25]]))</f>
        <v/>
      </c>
    </row>
    <row r="9" spans="2:28" x14ac:dyDescent="0.25">
      <c r="B9">
        <v>6</v>
      </c>
      <c r="AB9" t="str">
        <f>IF(COUNTA(Tabla5[[#This Row],[1]:[25]])=0,"",SUM(Tabla5[[#This Row],[1]:[25]])/COUNTA(Tabla5[[#This Row],[1]:[25]]))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E254-E37E-4DFD-91D9-326B9481220C}">
  <dimension ref="B3:H37"/>
  <sheetViews>
    <sheetView tabSelected="1" topLeftCell="A16" workbookViewId="0">
      <selection activeCell="K32" sqref="K32"/>
    </sheetView>
  </sheetViews>
  <sheetFormatPr baseColWidth="10" defaultRowHeight="15" x14ac:dyDescent="0.25"/>
  <cols>
    <col min="2" max="2" width="9.140625" bestFit="1" customWidth="1"/>
    <col min="3" max="3" width="34.28515625" bestFit="1" customWidth="1"/>
    <col min="4" max="4" width="9.42578125" bestFit="1" customWidth="1"/>
  </cols>
  <sheetData>
    <row r="3" spans="2:8" x14ac:dyDescent="0.25">
      <c r="B3" t="s">
        <v>67</v>
      </c>
      <c r="C3" t="s">
        <v>1</v>
      </c>
      <c r="D3" t="s">
        <v>58</v>
      </c>
      <c r="E3" t="s">
        <v>59</v>
      </c>
      <c r="F3" t="s">
        <v>60</v>
      </c>
      <c r="G3" t="s">
        <v>62</v>
      </c>
      <c r="H3" t="s">
        <v>61</v>
      </c>
    </row>
    <row r="4" spans="2:8" x14ac:dyDescent="0.25">
      <c r="B4">
        <v>2340328</v>
      </c>
      <c r="C4" t="s">
        <v>2</v>
      </c>
      <c r="D4">
        <f>VLOOKUP(VLOOKUP($C4,Tabla4[#All],2,FALSE),Tabla5[#All],27,FALSE)</f>
        <v>10</v>
      </c>
      <c r="E4">
        <f>VLOOKUP(VLOOKUP($C4,Tabla4[#All],2,FALSE),Tabla5[#All],27,FALSE)</f>
        <v>10</v>
      </c>
      <c r="F4">
        <f>VLOOKUP(VLOOKUP($C4,Tabla4[#All],2,FALSE),Tabla5[#All],27,FALSE)</f>
        <v>10</v>
      </c>
      <c r="G4">
        <f>VLOOKUP(VLOOKUP($C4,Tabla4[#All],2,FALSE),Tabla5[#All],27,FALSE)*2</f>
        <v>20</v>
      </c>
      <c r="H4">
        <f t="shared" ref="H4:H37" si="0">SUM(D4:G4)</f>
        <v>50</v>
      </c>
    </row>
    <row r="5" spans="2:8" x14ac:dyDescent="0.25">
      <c r="B5">
        <v>2340067</v>
      </c>
      <c r="C5" t="s">
        <v>3</v>
      </c>
      <c r="D5">
        <f>VLOOKUP(VLOOKUP($C5,Tabla4[#All],2,FALSE),Tabla5[#All],27,FALSE)</f>
        <v>10</v>
      </c>
      <c r="E5">
        <f>VLOOKUP(VLOOKUP($C5,Tabla4[#All],2,FALSE),Tabla5[#All],27,FALSE)</f>
        <v>10</v>
      </c>
      <c r="F5">
        <f>VLOOKUP(VLOOKUP($C5,Tabla4[#All],2,FALSE),Tabla5[#All],27,FALSE)</f>
        <v>10</v>
      </c>
      <c r="G5">
        <f>VLOOKUP(VLOOKUP($C5,Tabla4[#All],2,FALSE),Tabla5[#All],27,FALSE)*2</f>
        <v>20</v>
      </c>
      <c r="H5">
        <f t="shared" si="0"/>
        <v>50</v>
      </c>
    </row>
    <row r="6" spans="2:8" x14ac:dyDescent="0.25">
      <c r="B6">
        <v>2340175</v>
      </c>
      <c r="C6" t="s">
        <v>4</v>
      </c>
      <c r="D6" t="e">
        <f>VLOOKUP(VLOOKUP($C6,Tabla4[#All],2,FALSE),Tabla5[#All],27,FALSE)</f>
        <v>#N/A</v>
      </c>
      <c r="E6" t="e">
        <f>VLOOKUP(VLOOKUP($C6,Tabla4[#All],2,FALSE),Tabla5[#All],27,FALSE)</f>
        <v>#N/A</v>
      </c>
      <c r="F6" t="e">
        <f>VLOOKUP(VLOOKUP($C6,Tabla4[#All],2,FALSE),Tabla5[#All],27,FALSE)</f>
        <v>#N/A</v>
      </c>
      <c r="G6" t="e">
        <f>VLOOKUP(VLOOKUP($C6,Tabla4[#All],2,FALSE),Tabla5[#All],27,FALSE)*2</f>
        <v>#N/A</v>
      </c>
      <c r="H6" t="e">
        <f t="shared" si="0"/>
        <v>#N/A</v>
      </c>
    </row>
    <row r="7" spans="2:8" x14ac:dyDescent="0.25">
      <c r="B7">
        <v>2340498</v>
      </c>
      <c r="C7" t="s">
        <v>5</v>
      </c>
      <c r="D7" t="e">
        <f>VLOOKUP(VLOOKUP($C7,Tabla4[#All],2,FALSE),Tabla5[#All],27,FALSE)</f>
        <v>#N/A</v>
      </c>
      <c r="E7" t="e">
        <f>VLOOKUP(VLOOKUP($C7,Tabla4[#All],2,FALSE),Tabla5[#All],27,FALSE)</f>
        <v>#N/A</v>
      </c>
      <c r="F7" t="e">
        <f>VLOOKUP(VLOOKUP($C7,Tabla4[#All],2,FALSE),Tabla5[#All],27,FALSE)</f>
        <v>#N/A</v>
      </c>
      <c r="G7" t="e">
        <f>VLOOKUP(VLOOKUP($C7,Tabla4[#All],2,FALSE),Tabla5[#All],27,FALSE)*2</f>
        <v>#N/A</v>
      </c>
      <c r="H7" t="e">
        <f t="shared" si="0"/>
        <v>#N/A</v>
      </c>
    </row>
    <row r="8" spans="2:8" x14ac:dyDescent="0.25">
      <c r="B8">
        <v>2340044</v>
      </c>
      <c r="C8" t="s">
        <v>6</v>
      </c>
      <c r="D8" t="e">
        <f>VLOOKUP(VLOOKUP($C8,Tabla4[#All],2,FALSE),Tabla5[#All],27,FALSE)</f>
        <v>#N/A</v>
      </c>
      <c r="E8" t="e">
        <f>VLOOKUP(VLOOKUP($C8,Tabla4[#All],2,FALSE),Tabla5[#All],27,FALSE)</f>
        <v>#N/A</v>
      </c>
      <c r="F8" t="e">
        <f>VLOOKUP(VLOOKUP($C8,Tabla4[#All],2,FALSE),Tabla5[#All],27,FALSE)</f>
        <v>#N/A</v>
      </c>
      <c r="G8" t="e">
        <f>VLOOKUP(VLOOKUP($C8,Tabla4[#All],2,FALSE),Tabla5[#All],27,FALSE)*2</f>
        <v>#N/A</v>
      </c>
      <c r="H8" t="e">
        <f t="shared" si="0"/>
        <v>#N/A</v>
      </c>
    </row>
    <row r="9" spans="2:8" x14ac:dyDescent="0.25">
      <c r="B9">
        <v>2240123</v>
      </c>
      <c r="C9" t="s">
        <v>7</v>
      </c>
      <c r="D9" t="e">
        <f>VLOOKUP(VLOOKUP($C9,Tabla4[#All],2,FALSE),Tabla5[#All],27,FALSE)</f>
        <v>#N/A</v>
      </c>
      <c r="E9" t="e">
        <f>VLOOKUP(VLOOKUP($C9,Tabla4[#All],2,FALSE),Tabla5[#All],27,FALSE)</f>
        <v>#N/A</v>
      </c>
      <c r="F9" t="e">
        <f>VLOOKUP(VLOOKUP($C9,Tabla4[#All],2,FALSE),Tabla5[#All],27,FALSE)</f>
        <v>#N/A</v>
      </c>
      <c r="G9" t="e">
        <f>VLOOKUP(VLOOKUP($C9,Tabla4[#All],2,FALSE),Tabla5[#All],27,FALSE)*2</f>
        <v>#N/A</v>
      </c>
      <c r="H9" t="e">
        <f t="shared" si="0"/>
        <v>#N/A</v>
      </c>
    </row>
    <row r="10" spans="2:8" x14ac:dyDescent="0.25">
      <c r="B10">
        <v>2340048</v>
      </c>
      <c r="C10" t="s">
        <v>8</v>
      </c>
      <c r="D10">
        <f>VLOOKUP(VLOOKUP($C10,Tabla4[#All],2,FALSE),Tabla5[#All],27,FALSE)</f>
        <v>10</v>
      </c>
      <c r="E10">
        <f>VLOOKUP(VLOOKUP($C10,Tabla4[#All],2,FALSE),Tabla5[#All],27,FALSE)</f>
        <v>10</v>
      </c>
      <c r="F10">
        <f>VLOOKUP(VLOOKUP($C10,Tabla4[#All],2,FALSE),Tabla5[#All],27,FALSE)</f>
        <v>10</v>
      </c>
      <c r="G10">
        <f>VLOOKUP(VLOOKUP($C10,Tabla4[#All],2,FALSE),Tabla5[#All],27,FALSE)*2</f>
        <v>20</v>
      </c>
      <c r="H10">
        <f t="shared" si="0"/>
        <v>50</v>
      </c>
    </row>
    <row r="11" spans="2:8" x14ac:dyDescent="0.25">
      <c r="B11">
        <v>2340008</v>
      </c>
      <c r="C11" t="s">
        <v>9</v>
      </c>
      <c r="D11">
        <f>VLOOKUP(VLOOKUP($C11,Tabla4[#All],2,FALSE),Tabla5[#All],27,FALSE)</f>
        <v>10</v>
      </c>
      <c r="E11">
        <f>VLOOKUP(VLOOKUP($C11,Tabla4[#All],2,FALSE),Tabla5[#All],27,FALSE)</f>
        <v>10</v>
      </c>
      <c r="F11">
        <f>VLOOKUP(VLOOKUP($C11,Tabla4[#All],2,FALSE),Tabla5[#All],27,FALSE)</f>
        <v>10</v>
      </c>
      <c r="G11">
        <f>VLOOKUP(VLOOKUP($C11,Tabla4[#All],2,FALSE),Tabla5[#All],27,FALSE)*2</f>
        <v>20</v>
      </c>
      <c r="H11">
        <f t="shared" si="0"/>
        <v>50</v>
      </c>
    </row>
    <row r="12" spans="2:8" x14ac:dyDescent="0.25">
      <c r="B12">
        <v>2340122</v>
      </c>
      <c r="C12" t="s">
        <v>10</v>
      </c>
      <c r="D12">
        <f>VLOOKUP(VLOOKUP($C12,Tabla4[#All],2,FALSE),Tabla5[#All],27,FALSE)</f>
        <v>10</v>
      </c>
      <c r="E12">
        <f>VLOOKUP(VLOOKUP($C12,Tabla4[#All],2,FALSE),Tabla5[#All],27,FALSE)</f>
        <v>10</v>
      </c>
      <c r="F12">
        <f>VLOOKUP(VLOOKUP($C12,Tabla4[#All],2,FALSE),Tabla5[#All],27,FALSE)</f>
        <v>10</v>
      </c>
      <c r="G12">
        <f>VLOOKUP(VLOOKUP($C12,Tabla4[#All],2,FALSE),Tabla5[#All],27,FALSE)*2</f>
        <v>20</v>
      </c>
      <c r="H12">
        <f t="shared" si="0"/>
        <v>50</v>
      </c>
    </row>
    <row r="13" spans="2:8" x14ac:dyDescent="0.25">
      <c r="B13">
        <v>2340307</v>
      </c>
      <c r="C13" t="s">
        <v>11</v>
      </c>
      <c r="D13" t="e">
        <f>VLOOKUP(VLOOKUP($C13,Tabla4[#All],2,FALSE),Tabla5[#All],27,FALSE)</f>
        <v>#N/A</v>
      </c>
      <c r="E13" t="e">
        <f>VLOOKUP(VLOOKUP($C13,Tabla4[#All],2,FALSE),Tabla5[#All],27,FALSE)</f>
        <v>#N/A</v>
      </c>
      <c r="F13" t="e">
        <f>VLOOKUP(VLOOKUP($C13,Tabla4[#All],2,FALSE),Tabla5[#All],27,FALSE)</f>
        <v>#N/A</v>
      </c>
      <c r="G13" t="e">
        <f>VLOOKUP(VLOOKUP($C13,Tabla4[#All],2,FALSE),Tabla5[#All],27,FALSE)*2</f>
        <v>#N/A</v>
      </c>
      <c r="H13" t="e">
        <f t="shared" si="0"/>
        <v>#N/A</v>
      </c>
    </row>
    <row r="14" spans="2:8" x14ac:dyDescent="0.25">
      <c r="B14">
        <v>2340002</v>
      </c>
      <c r="C14" t="s">
        <v>12</v>
      </c>
      <c r="D14" t="e">
        <f>VLOOKUP(VLOOKUP($C14,Tabla4[#All],2,FALSE),Tabla5[#All],27,FALSE)</f>
        <v>#N/A</v>
      </c>
      <c r="E14" t="e">
        <f>VLOOKUP(VLOOKUP($C14,Tabla4[#All],2,FALSE),Tabla5[#All],27,FALSE)</f>
        <v>#N/A</v>
      </c>
      <c r="F14" t="e">
        <f>VLOOKUP(VLOOKUP($C14,Tabla4[#All],2,FALSE),Tabla5[#All],27,FALSE)</f>
        <v>#N/A</v>
      </c>
      <c r="G14" t="e">
        <f>VLOOKUP(VLOOKUP($C14,Tabla4[#All],2,FALSE),Tabla5[#All],27,FALSE)*2</f>
        <v>#N/A</v>
      </c>
      <c r="H14" t="e">
        <f t="shared" si="0"/>
        <v>#N/A</v>
      </c>
    </row>
    <row r="15" spans="2:8" x14ac:dyDescent="0.25">
      <c r="B15">
        <v>2340113</v>
      </c>
      <c r="C15" t="s">
        <v>13</v>
      </c>
      <c r="D15" t="e">
        <f>VLOOKUP(VLOOKUP($C15,Tabla4[#All],2,FALSE),Tabla5[#All],27,FALSE)</f>
        <v>#N/A</v>
      </c>
      <c r="E15" t="e">
        <f>VLOOKUP(VLOOKUP($C15,Tabla4[#All],2,FALSE),Tabla5[#All],27,FALSE)</f>
        <v>#N/A</v>
      </c>
      <c r="F15" t="e">
        <f>VLOOKUP(VLOOKUP($C15,Tabla4[#All],2,FALSE),Tabla5[#All],27,FALSE)</f>
        <v>#N/A</v>
      </c>
      <c r="G15" t="e">
        <f>VLOOKUP(VLOOKUP($C15,Tabla4[#All],2,FALSE),Tabla5[#All],27,FALSE)*2</f>
        <v>#N/A</v>
      </c>
      <c r="H15" t="e">
        <f t="shared" si="0"/>
        <v>#N/A</v>
      </c>
    </row>
    <row r="16" spans="2:8" x14ac:dyDescent="0.25">
      <c r="B16">
        <v>2340260</v>
      </c>
      <c r="C16" t="s">
        <v>14</v>
      </c>
      <c r="D16" t="e">
        <f>VLOOKUP(VLOOKUP($C16,Tabla4[#All],2,FALSE),Tabla5[#All],27,FALSE)</f>
        <v>#N/A</v>
      </c>
      <c r="E16" t="e">
        <f>VLOOKUP(VLOOKUP($C16,Tabla4[#All],2,FALSE),Tabla5[#All],27,FALSE)</f>
        <v>#N/A</v>
      </c>
      <c r="F16" t="e">
        <f>VLOOKUP(VLOOKUP($C16,Tabla4[#All],2,FALSE),Tabla5[#All],27,FALSE)</f>
        <v>#N/A</v>
      </c>
      <c r="G16" t="e">
        <f>VLOOKUP(VLOOKUP($C16,Tabla4[#All],2,FALSE),Tabla5[#All],27,FALSE)*2</f>
        <v>#N/A</v>
      </c>
      <c r="H16" t="e">
        <f t="shared" si="0"/>
        <v>#N/A</v>
      </c>
    </row>
    <row r="17" spans="2:8" x14ac:dyDescent="0.25">
      <c r="B17">
        <v>2340411</v>
      </c>
      <c r="C17" t="s">
        <v>15</v>
      </c>
      <c r="D17">
        <f>VLOOKUP(VLOOKUP($C17,Tabla4[#All],2,FALSE),Tabla5[#All],27,FALSE)</f>
        <v>10</v>
      </c>
      <c r="E17">
        <f>VLOOKUP(VLOOKUP($C17,Tabla4[#All],2,FALSE),Tabla5[#All],27,FALSE)</f>
        <v>10</v>
      </c>
      <c r="F17">
        <f>VLOOKUP(VLOOKUP($C17,Tabla4[#All],2,FALSE),Tabla5[#All],27,FALSE)</f>
        <v>10</v>
      </c>
      <c r="G17">
        <f>VLOOKUP(VLOOKUP($C17,Tabla4[#All],2,FALSE),Tabla5[#All],27,FALSE)*2</f>
        <v>20</v>
      </c>
      <c r="H17">
        <f t="shared" si="0"/>
        <v>50</v>
      </c>
    </row>
    <row r="18" spans="2:8" x14ac:dyDescent="0.25">
      <c r="B18">
        <v>2340249</v>
      </c>
      <c r="C18" t="s">
        <v>16</v>
      </c>
      <c r="D18">
        <f>VLOOKUP(VLOOKUP($C18,Tabla4[#All],2,FALSE),Tabla5[#All],27,FALSE)</f>
        <v>10</v>
      </c>
      <c r="E18">
        <f>VLOOKUP(VLOOKUP($C18,Tabla4[#All],2,FALSE),Tabla5[#All],27,FALSE)</f>
        <v>10</v>
      </c>
      <c r="F18">
        <f>VLOOKUP(VLOOKUP($C18,Tabla4[#All],2,FALSE),Tabla5[#All],27,FALSE)</f>
        <v>10</v>
      </c>
      <c r="G18">
        <f>VLOOKUP(VLOOKUP($C18,Tabla4[#All],2,FALSE),Tabla5[#All],27,FALSE)*2</f>
        <v>20</v>
      </c>
      <c r="H18">
        <f t="shared" si="0"/>
        <v>50</v>
      </c>
    </row>
    <row r="19" spans="2:8" x14ac:dyDescent="0.25">
      <c r="B19">
        <v>2340159</v>
      </c>
      <c r="C19" t="s">
        <v>17</v>
      </c>
      <c r="D19">
        <f>VLOOKUP(VLOOKUP($C19,Tabla4[#All],2,FALSE),Tabla5[#All],27,FALSE)</f>
        <v>10</v>
      </c>
      <c r="E19">
        <f>VLOOKUP(VLOOKUP($C19,Tabla4[#All],2,FALSE),Tabla5[#All],27,FALSE)</f>
        <v>10</v>
      </c>
      <c r="F19">
        <f>VLOOKUP(VLOOKUP($C19,Tabla4[#All],2,FALSE),Tabla5[#All],27,FALSE)</f>
        <v>10</v>
      </c>
      <c r="G19">
        <f>VLOOKUP(VLOOKUP($C19,Tabla4[#All],2,FALSE),Tabla5[#All],27,FALSE)*2</f>
        <v>20</v>
      </c>
      <c r="H19">
        <f t="shared" si="0"/>
        <v>50</v>
      </c>
    </row>
    <row r="20" spans="2:8" x14ac:dyDescent="0.25">
      <c r="B20">
        <v>2340003</v>
      </c>
      <c r="C20" t="s">
        <v>18</v>
      </c>
      <c r="D20">
        <f>VLOOKUP(VLOOKUP($C20,Tabla4[#All],2,FALSE),Tabla5[#All],27,FALSE)</f>
        <v>10</v>
      </c>
      <c r="E20">
        <f>VLOOKUP(VLOOKUP($C20,Tabla4[#All],2,FALSE),Tabla5[#All],27,FALSE)</f>
        <v>10</v>
      </c>
      <c r="F20">
        <f>VLOOKUP(VLOOKUP($C20,Tabla4[#All],2,FALSE),Tabla5[#All],27,FALSE)</f>
        <v>10</v>
      </c>
      <c r="G20">
        <f>VLOOKUP(VLOOKUP($C20,Tabla4[#All],2,FALSE),Tabla5[#All],27,FALSE)*2</f>
        <v>20</v>
      </c>
      <c r="H20">
        <f t="shared" si="0"/>
        <v>50</v>
      </c>
    </row>
    <row r="21" spans="2:8" x14ac:dyDescent="0.25">
      <c r="B21">
        <v>2340444</v>
      </c>
      <c r="C21" t="s">
        <v>19</v>
      </c>
      <c r="D21" t="e">
        <f>VLOOKUP(VLOOKUP($C21,Tabla4[#All],2,FALSE),Tabla5[#All],27,FALSE)</f>
        <v>#N/A</v>
      </c>
      <c r="E21" t="e">
        <f>VLOOKUP(VLOOKUP($C21,Tabla4[#All],2,FALSE),Tabla5[#All],27,FALSE)</f>
        <v>#N/A</v>
      </c>
      <c r="F21" t="e">
        <f>VLOOKUP(VLOOKUP($C21,Tabla4[#All],2,FALSE),Tabla5[#All],27,FALSE)</f>
        <v>#N/A</v>
      </c>
      <c r="G21" t="e">
        <f>VLOOKUP(VLOOKUP($C21,Tabla4[#All],2,FALSE),Tabla5[#All],27,FALSE)*2</f>
        <v>#N/A</v>
      </c>
      <c r="H21" t="e">
        <f t="shared" si="0"/>
        <v>#N/A</v>
      </c>
    </row>
    <row r="22" spans="2:8" x14ac:dyDescent="0.25">
      <c r="B22">
        <v>2340030</v>
      </c>
      <c r="C22" t="s">
        <v>20</v>
      </c>
      <c r="D22">
        <f>VLOOKUP(VLOOKUP($C22,Tabla4[#All],2,FALSE),Tabla5[#All],27,FALSE)</f>
        <v>10</v>
      </c>
      <c r="E22">
        <f>VLOOKUP(VLOOKUP($C22,Tabla4[#All],2,FALSE),Tabla5[#All],27,FALSE)</f>
        <v>10</v>
      </c>
      <c r="F22">
        <f>VLOOKUP(VLOOKUP($C22,Tabla4[#All],2,FALSE),Tabla5[#All],27,FALSE)</f>
        <v>10</v>
      </c>
      <c r="G22">
        <f>VLOOKUP(VLOOKUP($C22,Tabla4[#All],2,FALSE),Tabla5[#All],27,FALSE)*2</f>
        <v>20</v>
      </c>
      <c r="H22">
        <f t="shared" si="0"/>
        <v>50</v>
      </c>
    </row>
    <row r="23" spans="2:8" x14ac:dyDescent="0.25">
      <c r="B23">
        <v>2340140</v>
      </c>
      <c r="C23" t="s">
        <v>21</v>
      </c>
      <c r="D23">
        <f>VLOOKUP(VLOOKUP($C23,Tabla4[#All],2,FALSE),Tabla5[#All],27,FALSE)</f>
        <v>10</v>
      </c>
      <c r="E23">
        <f>VLOOKUP(VLOOKUP($C23,Tabla4[#All],2,FALSE),Tabla5[#All],27,FALSE)</f>
        <v>10</v>
      </c>
      <c r="F23">
        <f>VLOOKUP(VLOOKUP($C23,Tabla4[#All],2,FALSE),Tabla5[#All],27,FALSE)</f>
        <v>10</v>
      </c>
      <c r="G23">
        <f>VLOOKUP(VLOOKUP($C23,Tabla4[#All],2,FALSE),Tabla5[#All],27,FALSE)*2</f>
        <v>20</v>
      </c>
      <c r="H23">
        <f t="shared" si="0"/>
        <v>50</v>
      </c>
    </row>
    <row r="24" spans="2:8" x14ac:dyDescent="0.25">
      <c r="B24">
        <v>2340325</v>
      </c>
      <c r="C24" t="s">
        <v>22</v>
      </c>
      <c r="D24">
        <f>VLOOKUP(VLOOKUP($C24,Tabla4[#All],2,FALSE),Tabla5[#All],27,FALSE)</f>
        <v>10</v>
      </c>
      <c r="E24">
        <f>VLOOKUP(VLOOKUP($C24,Tabla4[#All],2,FALSE),Tabla5[#All],27,FALSE)</f>
        <v>10</v>
      </c>
      <c r="F24">
        <f>VLOOKUP(VLOOKUP($C24,Tabla4[#All],2,FALSE),Tabla5[#All],27,FALSE)</f>
        <v>10</v>
      </c>
      <c r="G24">
        <f>VLOOKUP(VLOOKUP($C24,Tabla4[#All],2,FALSE),Tabla5[#All],27,FALSE)*2</f>
        <v>20</v>
      </c>
      <c r="H24">
        <f t="shared" si="0"/>
        <v>50</v>
      </c>
    </row>
    <row r="25" spans="2:8" x14ac:dyDescent="0.25">
      <c r="B25">
        <v>2340099</v>
      </c>
      <c r="C25" t="s">
        <v>23</v>
      </c>
      <c r="D25" t="e">
        <f>VLOOKUP(VLOOKUP($C25,Tabla4[#All],2,FALSE),Tabla5[#All],27,FALSE)</f>
        <v>#N/A</v>
      </c>
      <c r="E25" t="e">
        <f>VLOOKUP(VLOOKUP($C25,Tabla4[#All],2,FALSE),Tabla5[#All],27,FALSE)</f>
        <v>#N/A</v>
      </c>
      <c r="F25" t="e">
        <f>VLOOKUP(VLOOKUP($C25,Tabla4[#All],2,FALSE),Tabla5[#All],27,FALSE)</f>
        <v>#N/A</v>
      </c>
      <c r="G25" t="e">
        <f>VLOOKUP(VLOOKUP($C25,Tabla4[#All],2,FALSE),Tabla5[#All],27,FALSE)*2</f>
        <v>#N/A</v>
      </c>
      <c r="H25" t="e">
        <f t="shared" si="0"/>
        <v>#N/A</v>
      </c>
    </row>
    <row r="26" spans="2:8" x14ac:dyDescent="0.25">
      <c r="B26">
        <v>2340176</v>
      </c>
      <c r="C26" t="s">
        <v>24</v>
      </c>
      <c r="D26" t="e">
        <f>VLOOKUP(VLOOKUP($C26,Tabla4[#All],2,FALSE),Tabla5[#All],27,FALSE)</f>
        <v>#N/A</v>
      </c>
      <c r="E26" t="e">
        <f>VLOOKUP(VLOOKUP($C26,Tabla4[#All],2,FALSE),Tabla5[#All],27,FALSE)</f>
        <v>#N/A</v>
      </c>
      <c r="F26" t="e">
        <f>VLOOKUP(VLOOKUP($C26,Tabla4[#All],2,FALSE),Tabla5[#All],27,FALSE)</f>
        <v>#N/A</v>
      </c>
      <c r="G26" t="e">
        <f>VLOOKUP(VLOOKUP($C26,Tabla4[#All],2,FALSE),Tabla5[#All],27,FALSE)*2</f>
        <v>#N/A</v>
      </c>
      <c r="H26" t="e">
        <f t="shared" si="0"/>
        <v>#N/A</v>
      </c>
    </row>
    <row r="27" spans="2:8" x14ac:dyDescent="0.25">
      <c r="B27">
        <v>2340493</v>
      </c>
      <c r="C27" t="s">
        <v>25</v>
      </c>
      <c r="D27" t="e">
        <f>VLOOKUP(VLOOKUP($C27,Tabla4[#All],2,FALSE),Tabla5[#All],27,FALSE)</f>
        <v>#N/A</v>
      </c>
      <c r="E27" t="e">
        <f>VLOOKUP(VLOOKUP($C27,Tabla4[#All],2,FALSE),Tabla5[#All],27,FALSE)</f>
        <v>#N/A</v>
      </c>
      <c r="F27" t="e">
        <f>VLOOKUP(VLOOKUP($C27,Tabla4[#All],2,FALSE),Tabla5[#All],27,FALSE)</f>
        <v>#N/A</v>
      </c>
      <c r="G27" t="e">
        <f>VLOOKUP(VLOOKUP($C27,Tabla4[#All],2,FALSE),Tabla5[#All],27,FALSE)*2</f>
        <v>#N/A</v>
      </c>
      <c r="H27" t="e">
        <f t="shared" si="0"/>
        <v>#N/A</v>
      </c>
    </row>
    <row r="28" spans="2:8" x14ac:dyDescent="0.25">
      <c r="B28">
        <v>2240056</v>
      </c>
      <c r="C28" t="s">
        <v>26</v>
      </c>
      <c r="D28" t="e">
        <f>VLOOKUP(VLOOKUP($C28,Tabla4[#All],2,FALSE),Tabla5[#All],27,FALSE)</f>
        <v>#N/A</v>
      </c>
      <c r="E28" t="e">
        <f>VLOOKUP(VLOOKUP($C28,Tabla4[#All],2,FALSE),Tabla5[#All],27,FALSE)</f>
        <v>#N/A</v>
      </c>
      <c r="F28" t="e">
        <f>VLOOKUP(VLOOKUP($C28,Tabla4[#All],2,FALSE),Tabla5[#All],27,FALSE)</f>
        <v>#N/A</v>
      </c>
      <c r="G28" t="e">
        <f>VLOOKUP(VLOOKUP($C28,Tabla4[#All],2,FALSE),Tabla5[#All],27,FALSE)*2</f>
        <v>#N/A</v>
      </c>
      <c r="H28" t="e">
        <f t="shared" si="0"/>
        <v>#N/A</v>
      </c>
    </row>
    <row r="29" spans="2:8" x14ac:dyDescent="0.25">
      <c r="B29">
        <v>2340087</v>
      </c>
      <c r="C29" t="s">
        <v>27</v>
      </c>
      <c r="D29">
        <f>VLOOKUP(VLOOKUP($C29,Tabla4[#All],2,FALSE),Tabla5[#All],27,FALSE)</f>
        <v>10</v>
      </c>
      <c r="E29">
        <f>VLOOKUP(VLOOKUP($C29,Tabla4[#All],2,FALSE),Tabla5[#All],27,FALSE)</f>
        <v>10</v>
      </c>
      <c r="F29">
        <f>VLOOKUP(VLOOKUP($C29,Tabla4[#All],2,FALSE),Tabla5[#All],27,FALSE)</f>
        <v>10</v>
      </c>
      <c r="G29">
        <f>VLOOKUP(VLOOKUP($C29,Tabla4[#All],2,FALSE),Tabla5[#All],27,FALSE)*2</f>
        <v>20</v>
      </c>
      <c r="H29">
        <f t="shared" si="0"/>
        <v>50</v>
      </c>
    </row>
    <row r="30" spans="2:8" x14ac:dyDescent="0.25">
      <c r="B30">
        <v>2340111</v>
      </c>
      <c r="C30" t="s">
        <v>28</v>
      </c>
      <c r="D30">
        <f>VLOOKUP(VLOOKUP($C30,Tabla4[#All],2,FALSE),Tabla5[#All],27,FALSE)</f>
        <v>10</v>
      </c>
      <c r="E30">
        <f>VLOOKUP(VLOOKUP($C30,Tabla4[#All],2,FALSE),Tabla5[#All],27,FALSE)</f>
        <v>10</v>
      </c>
      <c r="F30">
        <f>VLOOKUP(VLOOKUP($C30,Tabla4[#All],2,FALSE),Tabla5[#All],27,FALSE)</f>
        <v>10</v>
      </c>
      <c r="G30">
        <f>VLOOKUP(VLOOKUP($C30,Tabla4[#All],2,FALSE),Tabla5[#All],27,FALSE)*2</f>
        <v>20</v>
      </c>
      <c r="H30">
        <f t="shared" si="0"/>
        <v>50</v>
      </c>
    </row>
    <row r="31" spans="2:8" x14ac:dyDescent="0.25">
      <c r="B31">
        <v>2340363</v>
      </c>
      <c r="C31" t="s">
        <v>29</v>
      </c>
      <c r="D31">
        <f>VLOOKUP(VLOOKUP($C31,Tabla4[#All],2,FALSE),Tabla5[#All],27,FALSE)</f>
        <v>10</v>
      </c>
      <c r="E31">
        <f>VLOOKUP(VLOOKUP($C31,Tabla4[#All],2,FALSE),Tabla5[#All],27,FALSE)</f>
        <v>10</v>
      </c>
      <c r="F31">
        <f>VLOOKUP(VLOOKUP($C31,Tabla4[#All],2,FALSE),Tabla5[#All],27,FALSE)</f>
        <v>10</v>
      </c>
      <c r="G31">
        <f>VLOOKUP(VLOOKUP($C31,Tabla4[#All],2,FALSE),Tabla5[#All],27,FALSE)*2</f>
        <v>20</v>
      </c>
      <c r="H31">
        <f t="shared" si="0"/>
        <v>50</v>
      </c>
    </row>
    <row r="32" spans="2:8" x14ac:dyDescent="0.25">
      <c r="B32">
        <v>2340124</v>
      </c>
      <c r="C32" t="s">
        <v>30</v>
      </c>
      <c r="D32">
        <f>VLOOKUP(VLOOKUP($C32,Tabla4[#All],2,FALSE),Tabla5[#All],27,FALSE)</f>
        <v>10</v>
      </c>
      <c r="E32">
        <f>VLOOKUP(VLOOKUP($C32,Tabla4[#All],2,FALSE),Tabla5[#All],27,FALSE)</f>
        <v>10</v>
      </c>
      <c r="F32">
        <f>VLOOKUP(VLOOKUP($C32,Tabla4[#All],2,FALSE),Tabla5[#All],27,FALSE)</f>
        <v>10</v>
      </c>
      <c r="G32">
        <f>VLOOKUP(VLOOKUP($C32,Tabla4[#All],2,FALSE),Tabla5[#All],27,FALSE)*2</f>
        <v>20</v>
      </c>
      <c r="H32">
        <f t="shared" si="0"/>
        <v>50</v>
      </c>
    </row>
    <row r="33" spans="2:8" x14ac:dyDescent="0.25">
      <c r="B33">
        <v>2340446</v>
      </c>
      <c r="C33" t="s">
        <v>31</v>
      </c>
      <c r="D33" t="e">
        <f>VLOOKUP(VLOOKUP($C33,Tabla4[#All],2,FALSE),Tabla5[#All],27,FALSE)</f>
        <v>#N/A</v>
      </c>
      <c r="E33" t="e">
        <f>VLOOKUP(VLOOKUP($C33,Tabla4[#All],2,FALSE),Tabla5[#All],27,FALSE)</f>
        <v>#N/A</v>
      </c>
      <c r="F33" t="e">
        <f>VLOOKUP(VLOOKUP($C33,Tabla4[#All],2,FALSE),Tabla5[#All],27,FALSE)</f>
        <v>#N/A</v>
      </c>
      <c r="G33" t="e">
        <f>VLOOKUP(VLOOKUP($C33,Tabla4[#All],2,FALSE),Tabla5[#All],27,FALSE)*2</f>
        <v>#N/A</v>
      </c>
      <c r="H33" t="e">
        <f t="shared" si="0"/>
        <v>#N/A</v>
      </c>
    </row>
    <row r="34" spans="2:8" x14ac:dyDescent="0.25">
      <c r="B34">
        <v>2340130</v>
      </c>
      <c r="C34" t="s">
        <v>32</v>
      </c>
      <c r="D34">
        <f>VLOOKUP(VLOOKUP($C34,Tabla4[#All],2,FALSE),Tabla5[#All],27,FALSE)</f>
        <v>10</v>
      </c>
      <c r="E34">
        <f>VLOOKUP(VLOOKUP($C34,Tabla4[#All],2,FALSE),Tabla5[#All],27,FALSE)</f>
        <v>10</v>
      </c>
      <c r="F34">
        <f>VLOOKUP(VLOOKUP($C34,Tabla4[#All],2,FALSE),Tabla5[#All],27,FALSE)</f>
        <v>10</v>
      </c>
      <c r="G34">
        <f>VLOOKUP(VLOOKUP($C34,Tabla4[#All],2,FALSE),Tabla5[#All],27,FALSE)*2</f>
        <v>20</v>
      </c>
      <c r="H34">
        <f t="shared" si="0"/>
        <v>50</v>
      </c>
    </row>
    <row r="35" spans="2:8" x14ac:dyDescent="0.25">
      <c r="B35">
        <v>2340318</v>
      </c>
      <c r="C35" t="s">
        <v>33</v>
      </c>
      <c r="D35" t="e">
        <f>VLOOKUP(VLOOKUP($C35,Tabla4[#All],2,FALSE),Tabla5[#All],27,FALSE)</f>
        <v>#N/A</v>
      </c>
      <c r="E35" t="e">
        <f>VLOOKUP(VLOOKUP($C35,Tabla4[#All],2,FALSE),Tabla5[#All],27,FALSE)</f>
        <v>#N/A</v>
      </c>
      <c r="F35" t="e">
        <f>VLOOKUP(VLOOKUP($C35,Tabla4[#All],2,FALSE),Tabla5[#All],27,FALSE)</f>
        <v>#N/A</v>
      </c>
      <c r="G35" t="e">
        <f>VLOOKUP(VLOOKUP($C35,Tabla4[#All],2,FALSE),Tabla5[#All],27,FALSE)*2</f>
        <v>#N/A</v>
      </c>
      <c r="H35" t="e">
        <f t="shared" si="0"/>
        <v>#N/A</v>
      </c>
    </row>
    <row r="36" spans="2:8" x14ac:dyDescent="0.25">
      <c r="B36">
        <v>2340416</v>
      </c>
      <c r="C36" t="s">
        <v>34</v>
      </c>
      <c r="D36" t="e">
        <f>VLOOKUP(VLOOKUP($C36,Tabla4[#All],2,FALSE),Tabla5[#All],27,FALSE)</f>
        <v>#N/A</v>
      </c>
      <c r="E36" t="e">
        <f>VLOOKUP(VLOOKUP($C36,Tabla4[#All],2,FALSE),Tabla5[#All],27,FALSE)</f>
        <v>#N/A</v>
      </c>
      <c r="F36" t="e">
        <f>VLOOKUP(VLOOKUP($C36,Tabla4[#All],2,FALSE),Tabla5[#All],27,FALSE)</f>
        <v>#N/A</v>
      </c>
      <c r="G36" t="e">
        <f>VLOOKUP(VLOOKUP($C36,Tabla4[#All],2,FALSE),Tabla5[#All],27,FALSE)*2</f>
        <v>#N/A</v>
      </c>
      <c r="H36" t="e">
        <f t="shared" si="0"/>
        <v>#N/A</v>
      </c>
    </row>
    <row r="37" spans="2:8" x14ac:dyDescent="0.25">
      <c r="B37">
        <v>2340143</v>
      </c>
      <c r="C37" t="s">
        <v>35</v>
      </c>
      <c r="D37" t="e">
        <f>VLOOKUP(VLOOKUP($C37,Tabla4[#All],2,FALSE),Tabla5[#All],27,FALSE)</f>
        <v>#N/A</v>
      </c>
      <c r="E37" t="e">
        <f>VLOOKUP(VLOOKUP($C37,Tabla4[#All],2,FALSE),Tabla5[#All],27,FALSE)</f>
        <v>#N/A</v>
      </c>
      <c r="F37" t="e">
        <f>VLOOKUP(VLOOKUP($C37,Tabla4[#All],2,FALSE),Tabla5[#All],27,FALSE)</f>
        <v>#N/A</v>
      </c>
      <c r="G37" t="e">
        <f>VLOOKUP(VLOOKUP($C37,Tabla4[#All],2,FALSE),Tabla5[#All],27,FALSE)*2</f>
        <v>#N/A</v>
      </c>
      <c r="H37" t="e">
        <f t="shared" si="0"/>
        <v>#N/A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D38D-1231-42FD-940A-C2BBBA250CA4}">
  <dimension ref="C2:I14"/>
  <sheetViews>
    <sheetView workbookViewId="0">
      <selection activeCell="D17" sqref="D17"/>
    </sheetView>
  </sheetViews>
  <sheetFormatPr baseColWidth="10" defaultRowHeight="15" x14ac:dyDescent="0.25"/>
  <cols>
    <col min="3" max="3" width="15.5703125" bestFit="1" customWidth="1"/>
    <col min="4" max="4" width="34.7109375" customWidth="1"/>
    <col min="9" max="9" width="13" bestFit="1" customWidth="1"/>
  </cols>
  <sheetData>
    <row r="2" spans="3:9" x14ac:dyDescent="0.25">
      <c r="D2" s="2" t="s">
        <v>69</v>
      </c>
      <c r="E2" s="2"/>
      <c r="F2" s="2"/>
      <c r="G2" s="2"/>
      <c r="H2" s="2"/>
      <c r="I2" s="2"/>
    </row>
    <row r="3" spans="3:9" x14ac:dyDescent="0.25">
      <c r="D3" s="2"/>
      <c r="E3" s="2"/>
      <c r="F3" s="2"/>
      <c r="G3" s="2"/>
      <c r="H3" s="2"/>
      <c r="I3" s="2"/>
    </row>
    <row r="4" spans="3:9" x14ac:dyDescent="0.25">
      <c r="C4" t="s">
        <v>68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75</v>
      </c>
    </row>
    <row r="5" spans="3:9" x14ac:dyDescent="0.25">
      <c r="D5" s="1" t="str">
        <f>IF($C$5="","",VLOOKUP($C$5,Tabla6[#All],2,FALSE))</f>
        <v/>
      </c>
      <c r="E5" s="1" t="str">
        <f>IF($C$5="","",VLOOKUP($C$5,Tabla6[#All],3,FALSE))</f>
        <v/>
      </c>
      <c r="F5" s="1" t="str">
        <f>IF($C$5="","",VLOOKUP($C$5,Tabla6[#All],4,FALSE))</f>
        <v/>
      </c>
      <c r="G5" s="1" t="str">
        <f>IF($C$5="","",VLOOKUP($C$5,Tabla6[#All],5,FALSE))</f>
        <v/>
      </c>
      <c r="H5" s="1" t="str">
        <f>IF($C$5="","",VLOOKUP($C$5,Tabla6[#All],6,FALSE))</f>
        <v/>
      </c>
      <c r="I5" s="1" t="str">
        <f>IF($C$5="","",VLOOKUP($C$5,Tabla6[#All],7,FALSE))</f>
        <v/>
      </c>
    </row>
    <row r="9" spans="3:9" x14ac:dyDescent="0.25">
      <c r="D9" s="3" t="s">
        <v>76</v>
      </c>
      <c r="E9" s="3"/>
      <c r="F9" s="3"/>
      <c r="G9" s="3"/>
      <c r="H9" s="3"/>
      <c r="I9" s="3"/>
    </row>
    <row r="10" spans="3:9" x14ac:dyDescent="0.25">
      <c r="D10" s="3"/>
      <c r="E10" s="3"/>
      <c r="F10" s="3"/>
      <c r="G10" s="3"/>
      <c r="H10" s="3"/>
      <c r="I10" s="3"/>
    </row>
    <row r="11" spans="3:9" x14ac:dyDescent="0.25">
      <c r="D11" s="3"/>
      <c r="E11" s="3"/>
      <c r="F11" s="3"/>
      <c r="G11" s="3"/>
      <c r="H11" s="3"/>
      <c r="I11" s="3"/>
    </row>
    <row r="12" spans="3:9" x14ac:dyDescent="0.25">
      <c r="D12" s="3"/>
      <c r="E12" s="3"/>
      <c r="F12" s="3"/>
      <c r="G12" s="3"/>
      <c r="H12" s="3"/>
      <c r="I12" s="3"/>
    </row>
    <row r="13" spans="3:9" x14ac:dyDescent="0.25">
      <c r="D13" s="3"/>
      <c r="E13" s="3"/>
      <c r="F13" s="3"/>
      <c r="G13" s="3"/>
      <c r="H13" s="3"/>
      <c r="I13" s="3"/>
    </row>
    <row r="14" spans="3:9" x14ac:dyDescent="0.25">
      <c r="D14" s="3"/>
      <c r="E14" s="3"/>
      <c r="F14" s="3"/>
      <c r="G14" s="3"/>
      <c r="H14" s="3"/>
      <c r="I14" s="3"/>
    </row>
  </sheetData>
  <mergeCells count="2">
    <mergeCell ref="D2:I3"/>
    <mergeCell ref="D9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Asistencia</vt:lpstr>
      <vt:lpstr>Notas</vt:lpstr>
      <vt:lpstr>calif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2015-06-05T18:19:34Z</dcterms:created>
  <dcterms:modified xsi:type="dcterms:W3CDTF">2023-10-06T16:42:44Z</dcterms:modified>
</cp:coreProperties>
</file>