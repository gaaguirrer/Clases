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Introducción a la Electrónica/"/>
    </mc:Choice>
  </mc:AlternateContent>
  <xr:revisionPtr revIDLastSave="669" documentId="6_{10D103F0-A21C-412A-A928-F9EC44701E8D}" xr6:coauthVersionLast="47" xr6:coauthVersionMax="47" xr10:uidLastSave="{45937B28-597C-42F6-9F77-60F283B994DF}"/>
  <bookViews>
    <workbookView xWindow="-120" yWindow="-120" windowWidth="20730" windowHeight="11310" activeTab="1" xr2:uid="{62DDC4B3-170D-4206-BC32-267CDF2FB88D}"/>
  </bookViews>
  <sheets>
    <sheet name="Cuentas" sheetId="6" r:id="rId1"/>
    <sheet name="Tabla de precios" sheetId="2" r:id="rId2"/>
    <sheet name="Productos" sheetId="3" r:id="rId3"/>
    <sheet name="Compras" sheetId="4" r:id="rId4"/>
    <sheet name="venas" sheetId="5" r:id="rId5"/>
    <sheet name="_Alquiler" sheetId="9" r:id="rId6"/>
    <sheet name="Pagos" sheetId="7" r:id="rId7"/>
    <sheet name="Productos a comprar" sheetId="8" r:id="rId8"/>
  </sheets>
  <definedNames>
    <definedName name="compras">Compras_[#All]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6" l="1"/>
  <c r="G15" i="3" s="1"/>
  <c r="F15" i="3"/>
  <c r="D5" i="3"/>
  <c r="F26" i="4"/>
  <c r="D15" i="3"/>
  <c r="E16" i="2"/>
  <c r="F16" i="2" s="1"/>
  <c r="G16" i="2" s="1"/>
  <c r="B16" i="2"/>
  <c r="E24" i="7"/>
  <c r="E25" i="7"/>
  <c r="E26" i="7"/>
  <c r="Q5" i="4"/>
  <c r="E18" i="6" s="1"/>
  <c r="I9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D5" i="6"/>
  <c r="E5" i="6" s="1"/>
  <c r="D6" i="6"/>
  <c r="E6" i="6" s="1"/>
  <c r="D7" i="6"/>
  <c r="E7" i="6" s="1"/>
  <c r="E14" i="6"/>
  <c r="D14" i="6"/>
  <c r="G14" i="3" s="1"/>
  <c r="D13" i="6"/>
  <c r="G13" i="3" s="1"/>
  <c r="D12" i="6"/>
  <c r="F12" i="3" s="1"/>
  <c r="D11" i="6"/>
  <c r="E11" i="6" s="1"/>
  <c r="D10" i="6"/>
  <c r="G10" i="3" s="1"/>
  <c r="D9" i="6"/>
  <c r="G9" i="3" s="1"/>
  <c r="D8" i="6"/>
  <c r="F8" i="3" s="1"/>
  <c r="F25" i="4"/>
  <c r="F24" i="4"/>
  <c r="F23" i="4"/>
  <c r="D12" i="3" s="1"/>
  <c r="F22" i="4"/>
  <c r="F21" i="4"/>
  <c r="F20" i="4"/>
  <c r="F19" i="4"/>
  <c r="F18" i="4"/>
  <c r="F17" i="4"/>
  <c r="F16" i="4"/>
  <c r="F15" i="4"/>
  <c r="F6" i="4"/>
  <c r="F7" i="4"/>
  <c r="F8" i="4"/>
  <c r="F9" i="4"/>
  <c r="F10" i="4"/>
  <c r="D10" i="3" s="1"/>
  <c r="F11" i="4"/>
  <c r="D9" i="3" s="1"/>
  <c r="F12" i="4"/>
  <c r="F13" i="4"/>
  <c r="F14" i="4"/>
  <c r="E10" i="6" l="1"/>
  <c r="F5" i="3"/>
  <c r="F11" i="3"/>
  <c r="F7" i="3"/>
  <c r="E15" i="6"/>
  <c r="G12" i="3"/>
  <c r="G8" i="3"/>
  <c r="E13" i="6"/>
  <c r="E9" i="6"/>
  <c r="F14" i="3"/>
  <c r="F10" i="3"/>
  <c r="F6" i="3"/>
  <c r="G11" i="3"/>
  <c r="G7" i="3"/>
  <c r="E12" i="6"/>
  <c r="E8" i="6"/>
  <c r="F13" i="3"/>
  <c r="F9" i="3"/>
  <c r="G6" i="3"/>
  <c r="G5" i="3"/>
  <c r="D8" i="3"/>
  <c r="G18" i="3"/>
  <c r="D14" i="3"/>
  <c r="D13" i="3"/>
  <c r="E17" i="6"/>
  <c r="E19" i="6" s="1"/>
  <c r="D11" i="3"/>
  <c r="D6" i="3"/>
  <c r="D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Guillermo Aguirre</author>
  </authors>
  <commentList>
    <comment ref="B7" authorId="0" shapeId="0" xr:uid="{531C67BA-DFD8-4A0B-97F0-2833CF9729DE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Led Emisor
Led Receptor
Transistor IR</t>
        </r>
      </text>
    </comment>
    <comment ref="B9" authorId="0" shapeId="0" xr:uid="{2934ED49-1B86-4AFC-BE7B-8F54D002F3CE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Incluye una resistesistencia de : 100, 220, 330, 510, 1k, 2k, 5k, 110k
Dos resistencias de: 10k y 20k</t>
        </r>
      </text>
    </comment>
    <comment ref="B11" authorId="0" shapeId="0" xr:uid="{A053F2EB-AAA4-47D6-A352-AE61F75E5F10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2N2222</t>
        </r>
      </text>
    </comment>
    <comment ref="B12" authorId="0" shapeId="0" xr:uid="{2332AC3A-0540-4885-88B8-070B9FBEB600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b/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Tahoma"/>
            <family val="2"/>
          </rPr>
          <t xml:space="preserve">2907A
</t>
        </r>
      </text>
    </comment>
    <comment ref="B13" authorId="0" shapeId="0" xr:uid="{BF378BD0-8BC2-4F52-90C4-298F44B788A6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NE 555
</t>
        </r>
      </text>
    </comment>
    <comment ref="B14" authorId="0" shapeId="0" xr:uid="{68BAD236-8584-4A81-9B1D-2E821160F3CB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400 puntos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Guillermo Aguirre</author>
  </authors>
  <commentList>
    <comment ref="C6" authorId="0" shapeId="0" xr:uid="{F56C2018-FD1B-431E-A610-3766754F30E0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fotorresistencia</t>
        </r>
      </text>
    </comment>
    <comment ref="C7" authorId="0" shapeId="0" xr:uid="{7476A864-1AF7-43E8-9DFC-DCFB7FA52B67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Led Emisor
Led Receptor
Transistor IR</t>
        </r>
      </text>
    </comment>
    <comment ref="C9" authorId="0" shapeId="0" xr:uid="{9BAD2950-C288-4C84-8D6E-643BC7772BAC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Incluye una resistesistencia de : 100, 220, 330, 510, 1k, 2k, 5k, 110k
Dos resistencias de: 10k y 20k
</t>
        </r>
      </text>
    </comment>
    <comment ref="C11" authorId="0" shapeId="0" xr:uid="{34677773-9C6D-4356-A7C8-09DAB495D071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2N2222</t>
        </r>
      </text>
    </comment>
    <comment ref="C12" authorId="0" shapeId="0" xr:uid="{90022C86-0E84-4378-A9B5-740559A23687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b/>
            <sz val="9"/>
            <color indexed="81"/>
            <rFont val="Tahoma"/>
            <family val="2"/>
          </rPr>
          <t>N</t>
        </r>
        <r>
          <rPr>
            <sz val="9"/>
            <color indexed="81"/>
            <rFont val="Tahoma"/>
            <family val="2"/>
          </rPr>
          <t xml:space="preserve">2907A
</t>
        </r>
      </text>
    </comment>
    <comment ref="C13" authorId="0" shapeId="0" xr:uid="{9558F52C-58D9-4B8D-BA0D-2EA30E560C5E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NE 555
</t>
        </r>
      </text>
    </comment>
    <comment ref="C14" authorId="0" shapeId="0" xr:uid="{D2C224B0-270E-4A85-95B9-70790785EC08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400 puntos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Guillermo Aguirre</author>
  </authors>
  <commentList>
    <comment ref="K9" authorId="0" shapeId="0" xr:uid="{8CCEFBA1-F6DA-4897-8984-CE3E6B0D50A7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20x20x2mm</t>
        </r>
      </text>
    </comment>
    <comment ref="K10" authorId="0" shapeId="0" xr:uid="{2BC8A5E5-59FB-4E8F-BA89-0252A8334A0D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GL-12 de 840 pnts,  túnel de 175x67x8mm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Ing. Guillermo Aguirre</author>
  </authors>
  <commentList>
    <comment ref="B25" authorId="0" shapeId="0" xr:uid="{F1E63922-FF12-425A-8AD6-93E5B442C7CC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20x20x2mm</t>
        </r>
      </text>
    </comment>
    <comment ref="B26" authorId="0" shapeId="0" xr:uid="{04E84099-52AA-448D-B438-0D8B39DB1194}">
      <text>
        <r>
          <rPr>
            <b/>
            <sz val="9"/>
            <color indexed="81"/>
            <rFont val="Tahoma"/>
            <family val="2"/>
          </rPr>
          <t>Ing. Guillermo Aguirre:</t>
        </r>
        <r>
          <rPr>
            <sz val="9"/>
            <color indexed="81"/>
            <rFont val="Tahoma"/>
            <family val="2"/>
          </rPr>
          <t xml:space="preserve">
GL-12 de 840 pnts,  túnel de 175x67x8mm</t>
        </r>
      </text>
    </comment>
  </commentList>
</comments>
</file>

<file path=xl/sharedStrings.xml><?xml version="1.0" encoding="utf-8"?>
<sst xmlns="http://schemas.openxmlformats.org/spreadsheetml/2006/main" count="161" uniqueCount="58">
  <si>
    <t>Artículo</t>
  </si>
  <si>
    <t>IC 555</t>
  </si>
  <si>
    <t>Transistor PNP</t>
  </si>
  <si>
    <t>Cable puente</t>
  </si>
  <si>
    <t>Resistencias</t>
  </si>
  <si>
    <t>Protoboard</t>
  </si>
  <si>
    <t>Potenciometro</t>
  </si>
  <si>
    <t>Led</t>
  </si>
  <si>
    <t>Transistor NPN</t>
  </si>
  <si>
    <t>LED IR</t>
  </si>
  <si>
    <t>LDR</t>
  </si>
  <si>
    <t>Pack 1</t>
  </si>
  <si>
    <t>Pack 2</t>
  </si>
  <si>
    <t>Pack 3</t>
  </si>
  <si>
    <t>Cant</t>
  </si>
  <si>
    <t>Precios</t>
  </si>
  <si>
    <t>Piezas</t>
  </si>
  <si>
    <t>Precio Total</t>
  </si>
  <si>
    <t>Productos</t>
  </si>
  <si>
    <t>Link</t>
  </si>
  <si>
    <t>Costo</t>
  </si>
  <si>
    <t>Unidades</t>
  </si>
  <si>
    <t>Costo Unit</t>
  </si>
  <si>
    <t>Vendidos</t>
  </si>
  <si>
    <t>Ganancias</t>
  </si>
  <si>
    <t>Costo promedio</t>
  </si>
  <si>
    <t>Precio de venta</t>
  </si>
  <si>
    <t>Producto</t>
  </si>
  <si>
    <t>Unidades Vendidas</t>
  </si>
  <si>
    <t>Material</t>
  </si>
  <si>
    <t>Precio</t>
  </si>
  <si>
    <t>Kit Arduino</t>
  </si>
  <si>
    <t>Multímetro</t>
  </si>
  <si>
    <t>Recuperación</t>
  </si>
  <si>
    <t>Iman</t>
  </si>
  <si>
    <t>Cantidad</t>
  </si>
  <si>
    <t>iman</t>
  </si>
  <si>
    <t>Matix 8x8</t>
  </si>
  <si>
    <t>Total Inversión</t>
  </si>
  <si>
    <t>Subtotal</t>
  </si>
  <si>
    <t>Total vendido</t>
  </si>
  <si>
    <t>Total Invertido</t>
  </si>
  <si>
    <t>¿Beneficios?</t>
  </si>
  <si>
    <t>Recibido</t>
  </si>
  <si>
    <t>Inverisón</t>
  </si>
  <si>
    <t>Dólar</t>
  </si>
  <si>
    <t>Protoboard y matriz 8x8</t>
  </si>
  <si>
    <t>Empaque</t>
  </si>
  <si>
    <t>Existencias</t>
  </si>
  <si>
    <t>Pruductos</t>
  </si>
  <si>
    <t>Sensor de peso</t>
  </si>
  <si>
    <t>Resistencia 5k</t>
  </si>
  <si>
    <t>Resistencia 10k</t>
  </si>
  <si>
    <t>Resistencia 20k</t>
  </si>
  <si>
    <t>Sensor de gas</t>
  </si>
  <si>
    <t>Sensor PIR</t>
  </si>
  <si>
    <t>Pack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</si>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</sst>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C$&quot;#,##0"/>
    <numFmt numFmtId="165" formatCode="&quot;C$&quot;#,##0.00"/>
    <numFmt numFmtId="166" formatCode="[$$-540A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1"/>
    <xf numFmtId="165" fontId="0" fillId="0" borderId="0" xfId="0" applyNumberFormat="1"/>
    <xf numFmtId="3" fontId="0" fillId="0" borderId="0" xfId="0" applyNumberFormat="1"/>
    <xf numFmtId="0" fontId="5" fillId="0" borderId="0" xfId="0" applyFont="1"/>
    <xf numFmtId="165" fontId="5" fillId="0" borderId="0" xfId="0" applyNumberFormat="1" applyFont="1"/>
    <xf numFmtId="166" fontId="0" fillId="0" borderId="0" xfId="0" applyNumberFormat="1"/>
    <xf numFmtId="0" fontId="1" fillId="0" borderId="10" xfId="0" applyFont="1" applyBorder="1"/>
    <xf numFmtId="0" fontId="1" fillId="0" borderId="11" xfId="0" applyFont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164" fontId="1" fillId="0" borderId="16" xfId="0" applyNumberFormat="1" applyFont="1" applyBorder="1"/>
    <xf numFmtId="164" fontId="0" fillId="0" borderId="6" xfId="0" applyNumberFormat="1" applyBorder="1"/>
    <xf numFmtId="164" fontId="0" fillId="0" borderId="3" xfId="0" applyNumberFormat="1" applyBorder="1"/>
    <xf numFmtId="0" fontId="1" fillId="0" borderId="12" xfId="0" applyFont="1" applyBorder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&quot;C$&quot;#,##0.00"/>
    </dxf>
    <dxf>
      <numFmt numFmtId="166" formatCode="[$$-540A]#,##0.00"/>
    </dxf>
    <dxf>
      <numFmt numFmtId="166" formatCode="[$$-540A]#,##0.00"/>
    </dxf>
    <dxf>
      <numFmt numFmtId="165" formatCode="&quot;C$&quot;#,##0.00"/>
    </dxf>
    <dxf>
      <numFmt numFmtId="165" formatCode="&quot;C$&quot;#,##0.00"/>
    </dxf>
    <dxf>
      <numFmt numFmtId="165" formatCode="&quot;C$&quot;#,##0.00"/>
    </dxf>
    <dxf>
      <numFmt numFmtId="165" formatCode="&quot;C$&quot;#,##0.00"/>
    </dxf>
    <dxf>
      <numFmt numFmtId="3" formatCode="#,##0"/>
    </dxf>
    <dxf>
      <numFmt numFmtId="165" formatCode="&quot;C$&quot;#,##0.00"/>
    </dxf>
    <dxf>
      <numFmt numFmtId="165" formatCode="&quot;C$&quot;#,##0.00"/>
    </dxf>
    <dxf>
      <numFmt numFmtId="165" formatCode="&quot;C$&quot;#,##0.00"/>
    </dxf>
    <dxf>
      <numFmt numFmtId="3" formatCode="#,##0"/>
    </dxf>
    <dxf>
      <numFmt numFmtId="165" formatCode="&quot;C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#REF!" lockText="1" noThreeD="1"/>
</file>

<file path=xl/ctrlProps/ctrlProp2.xml><?xml version="1.0" encoding="utf-8"?>
<formControlPr xmlns="http://schemas.microsoft.com/office/spreadsheetml/2009/9/main" objectType="CheckBox" fmlaLink="$I$26" lockText="1" noThreeD="1"/>
</file>

<file path=xl/ctrlProps/ctrlProp3.xml><?xml version="1.0" encoding="utf-8"?>
<formControlPr xmlns="http://schemas.microsoft.com/office/spreadsheetml/2009/9/main" objectType="CheckBox" fmlaLink="$I$27" lockText="1" noThreeD="1"/>
</file>

<file path=xl/ctrlProps/ctrlProp4.xml><?xml version="1.0" encoding="utf-8"?>
<formControlPr xmlns="http://schemas.microsoft.com/office/spreadsheetml/2009/9/main" objectType="CheckBox" fmlaLink="$I$28" lockText="1" noThreeD="1"/>
</file>

<file path=xl/ctrlProps/ctrlProp5.xml><?xml version="1.0" encoding="utf-8"?>
<formControlPr xmlns="http://schemas.microsoft.com/office/spreadsheetml/2009/9/main" objectType="CheckBox" checked="Checked" fmlaLink="$I$7" lockText="1" noThreeD="1"/>
</file>

<file path=xl/ctrlProps/ctrlProp6.xml><?xml version="1.0" encoding="utf-8"?>
<formControlPr xmlns="http://schemas.microsoft.com/office/spreadsheetml/2009/9/main" objectType="CheckBox" checked="Checked" fmlaLink="$I$6" lockText="1" noThreeD="1"/>
</file>

<file path=xl/ctrlProps/ctrlProp7.xml><?xml version="1.0" encoding="utf-8"?>
<formControlPr xmlns="http://schemas.microsoft.com/office/spreadsheetml/2009/9/main" objectType="CheckBox" fmlaLink="$I$8" lockText="1" noThreeD="1"/>
</file>

<file path=xl/ctrlProps/ctrlProp8.xml><?xml version="1.0" encoding="utf-8"?>
<formControlPr xmlns="http://schemas.microsoft.com/office/spreadsheetml/2009/9/main" objectType="CheckBox" checked="Checked" fmlaLink="$I$9" lockText="1" noThreeD="1"/>
</file>

<file path=xl/ctrlProps/ctrlProp9.xml><?xml version="1.0" encoding="utf-8"?>
<formControlPr xmlns="http://schemas.microsoft.com/office/spreadsheetml/2009/9/main" objectType="CheckBox" checked="Checked" fmlaLink="$I$10" lockText="1" noThreeD="1"/>
</file>

<file path=xl/ctrlProps/ctrlProp10.xml><?xml version="1.0" encoding="utf-8"?>
<formControlPr xmlns="http://schemas.microsoft.com/office/spreadsheetml/2009/9/main" objectType="CheckBox" fmlaLink="$I$11" lockText="1" noThreeD="1"/>
</file>

<file path=xl/ctrlProps/ctrlProp11.xml><?xml version="1.0" encoding="utf-8"?>
<formControlPr xmlns="http://schemas.microsoft.com/office/spreadsheetml/2009/9/main" objectType="CheckBox" fmlaLink="$I$12" lockText="1" noThreeD="1"/>
</file>

<file path=xl/ctrlProps/ctrlProp12.xml><?xml version="1.0" encoding="utf-8"?>
<formControlPr xmlns="http://schemas.microsoft.com/office/spreadsheetml/2009/9/main" objectType="CheckBox" checked="Checked" fmlaLink="$I$13" lockText="1" noThreeD="1"/>
</file>

<file path=xl/ctrlProps/ctrlProp13.xml><?xml version="1.0" encoding="utf-8"?>
<formControlPr xmlns="http://schemas.microsoft.com/office/spreadsheetml/2009/9/main" objectType="CheckBox" checked="Checked" fmlaLink="$I$15" lockText="1" noThreeD="1"/>
</file>

<file path=xl/ctrlProps/ctrlProp14.xml><?xml version="1.0" encoding="utf-8"?>
<formControlPr xmlns="http://schemas.microsoft.com/office/spreadsheetml/2009/9/main" objectType="CheckBox" checked="Checked" fmlaLink="$I$14" lockText="1" noThreeD="1"/>
</file>

<file path=xl/ctrlProps/ctrlProp15.xml><?xml version="1.0" encoding="utf-8"?>
<formControlPr xmlns="http://schemas.microsoft.com/office/spreadsheetml/2009/9/main" objectType="CheckBox" checked="Checked" fmlaLink="$I$16" lockText="1" noThreeD="1"/>
</file>

<file path=xl/ctrlProps/ctrlProp16.xml><?xml version="1.0" encoding="utf-8"?>
<formControlPr xmlns="http://schemas.microsoft.com/office/spreadsheetml/2009/9/main" objectType="CheckBox" fmlaLink="$I$17" lockText="1" noThreeD="1"/>
</file>

<file path=xl/ctrlProps/ctrlProp17.xml><?xml version="1.0" encoding="utf-8"?>
<formControlPr xmlns="http://schemas.microsoft.com/office/spreadsheetml/2009/9/main" objectType="CheckBox" fmlaLink="$I$18" lockText="1" noThreeD="1"/>
</file>

<file path=xl/ctrlProps/ctrlProp18.xml><?xml version="1.0" encoding="utf-8"?>
<formControlPr xmlns="http://schemas.microsoft.com/office/spreadsheetml/2009/9/main" objectType="CheckBox" fmlaLink="$I$19" lockText="1" noThreeD="1"/>
</file>

<file path=xl/ctrlProps/ctrlProp19.xml><?xml version="1.0" encoding="utf-8"?>
<formControlPr xmlns="http://schemas.microsoft.com/office/spreadsheetml/2009/9/main" objectType="CheckBox" fmlaLink="$I$20" lockText="1" noThreeD="1"/>
</file>

<file path=xl/ctrlProps/ctrlProp20.xml><?xml version="1.0" encoding="utf-8"?>
<formControlPr xmlns="http://schemas.microsoft.com/office/spreadsheetml/2009/9/main" objectType="CheckBox" fmlaLink="$I$21" lockText="1" noThreeD="1"/>
</file>

<file path=xl/ctrlProps/ctrlProp21.xml><?xml version="1.0" encoding="utf-8"?>
<formControlPr xmlns="http://schemas.microsoft.com/office/spreadsheetml/2009/9/main" objectType="CheckBox" checked="Checked" fmlaLink="$I$23" lockText="1" noThreeD="1"/>
</file>

<file path=xl/ctrlProps/ctrlProp22.xml><?xml version="1.0" encoding="utf-8"?>
<formControlPr xmlns="http://schemas.microsoft.com/office/spreadsheetml/2009/9/main" objectType="CheckBox" fmlaLink="$I$22" lockText="1" noThreeD="1"/>
</file>

<file path=xl/ctrlProps/ctrlProp23.xml><?xml version="1.0" encoding="utf-8"?>
<formControlPr xmlns="http://schemas.microsoft.com/office/spreadsheetml/2009/9/main" objectType="CheckBox" fmlaLink="$I$24" lockText="1" noThreeD="1"/>
</file>

<file path=xl/ctrlProps/ctrlProp24.xml><?xml version="1.0" encoding="utf-8"?>
<formControlPr xmlns="http://schemas.microsoft.com/office/spreadsheetml/2009/9/main" objectType="CheckBox" fmlaLink="$I$25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93651</xdr:colOff>
      <xdr:row>5</xdr:row>
      <xdr:rowOff>185377</xdr:rowOff>
    </xdr:from>
    <xdr:to>
      <xdr:col>4</xdr:col>
      <xdr:colOff>299677</xdr:colOff>
      <xdr:row>7</xdr:row>
      <xdr:rowOff>10403</xdr:rowOff>
    </xdr:to>
    <xdr:pic>
      <xdr:nvPicPr>
        <xdr:cNvPr id="3" name="Gráfico 2" descr="Cerrar con relleno sólid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06327" y="1137877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98936</xdr:colOff>
      <xdr:row>3</xdr:row>
      <xdr:rowOff>180578</xdr:rowOff>
    </xdr:from>
    <xdr:to>
      <xdr:col>4</xdr:col>
      <xdr:colOff>304962</xdr:colOff>
      <xdr:row>4</xdr:row>
      <xdr:rowOff>184898</xdr:rowOff>
    </xdr:to>
    <xdr:pic>
      <xdr:nvPicPr>
        <xdr:cNvPr id="7" name="Gráfico 6" descr="Marca de insignia1 con relleno sólid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11612" y="752078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111262</xdr:colOff>
      <xdr:row>3</xdr:row>
      <xdr:rowOff>187302</xdr:rowOff>
    </xdr:from>
    <xdr:to>
      <xdr:col>6</xdr:col>
      <xdr:colOff>317288</xdr:colOff>
      <xdr:row>5</xdr:row>
      <xdr:rowOff>1122</xdr:rowOff>
    </xdr:to>
    <xdr:pic>
      <xdr:nvPicPr>
        <xdr:cNvPr id="8" name="Gráfico 7" descr="Marca de insignia1 con relleno sólid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86791" y="758802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101177</xdr:colOff>
      <xdr:row>3</xdr:row>
      <xdr:rowOff>188422</xdr:rowOff>
    </xdr:from>
    <xdr:to>
      <xdr:col>5</xdr:col>
      <xdr:colOff>307203</xdr:colOff>
      <xdr:row>5</xdr:row>
      <xdr:rowOff>2242</xdr:rowOff>
    </xdr:to>
    <xdr:pic>
      <xdr:nvPicPr>
        <xdr:cNvPr id="9" name="Gráfico 8" descr="Marca de insignia1 con relleno sólid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45280" y="759922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105659</xdr:colOff>
      <xdr:row>4</xdr:row>
      <xdr:rowOff>181699</xdr:rowOff>
    </xdr:from>
    <xdr:to>
      <xdr:col>4</xdr:col>
      <xdr:colOff>311685</xdr:colOff>
      <xdr:row>6</xdr:row>
      <xdr:rowOff>6725</xdr:rowOff>
    </xdr:to>
    <xdr:pic>
      <xdr:nvPicPr>
        <xdr:cNvPr id="10" name="Gráfico 9" descr="Marca de insignia1 con relleno sólid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18335" y="943699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117985</xdr:colOff>
      <xdr:row>4</xdr:row>
      <xdr:rowOff>188423</xdr:rowOff>
    </xdr:from>
    <xdr:to>
      <xdr:col>6</xdr:col>
      <xdr:colOff>324011</xdr:colOff>
      <xdr:row>6</xdr:row>
      <xdr:rowOff>13449</xdr:rowOff>
    </xdr:to>
    <xdr:pic>
      <xdr:nvPicPr>
        <xdr:cNvPr id="11" name="Gráfico 10" descr="Marca de insignia1 con relleno sólid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93514" y="950423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107900</xdr:colOff>
      <xdr:row>4</xdr:row>
      <xdr:rowOff>189543</xdr:rowOff>
    </xdr:from>
    <xdr:to>
      <xdr:col>5</xdr:col>
      <xdr:colOff>313926</xdr:colOff>
      <xdr:row>6</xdr:row>
      <xdr:rowOff>14569</xdr:rowOff>
    </xdr:to>
    <xdr:pic>
      <xdr:nvPicPr>
        <xdr:cNvPr id="12" name="Gráfico 11" descr="Marca de insignia1 con relleno sólid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52003" y="951543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117183</xdr:colOff>
      <xdr:row>11</xdr:row>
      <xdr:rowOff>7204</xdr:rowOff>
    </xdr:from>
    <xdr:to>
      <xdr:col>4</xdr:col>
      <xdr:colOff>323209</xdr:colOff>
      <xdr:row>12</xdr:row>
      <xdr:rowOff>22730</xdr:rowOff>
    </xdr:to>
    <xdr:pic>
      <xdr:nvPicPr>
        <xdr:cNvPr id="13" name="Gráfico 12" descr="Cerrar con relleno sólido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29859" y="2102704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117662</xdr:colOff>
      <xdr:row>12</xdr:row>
      <xdr:rowOff>5603</xdr:rowOff>
    </xdr:from>
    <xdr:to>
      <xdr:col>4</xdr:col>
      <xdr:colOff>323688</xdr:colOff>
      <xdr:row>13</xdr:row>
      <xdr:rowOff>21129</xdr:rowOff>
    </xdr:to>
    <xdr:pic>
      <xdr:nvPicPr>
        <xdr:cNvPr id="14" name="Gráfico 13" descr="Cerrar con relleno sólid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30338" y="2291603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117661</xdr:colOff>
      <xdr:row>13</xdr:row>
      <xdr:rowOff>0</xdr:rowOff>
    </xdr:from>
    <xdr:to>
      <xdr:col>4</xdr:col>
      <xdr:colOff>323687</xdr:colOff>
      <xdr:row>14</xdr:row>
      <xdr:rowOff>15526</xdr:rowOff>
    </xdr:to>
    <xdr:pic>
      <xdr:nvPicPr>
        <xdr:cNvPr id="15" name="Gráfico 14" descr="Cerrar con relleno sólido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30337" y="2498912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101177</xdr:colOff>
      <xdr:row>7</xdr:row>
      <xdr:rowOff>3525</xdr:rowOff>
    </xdr:from>
    <xdr:to>
      <xdr:col>4</xdr:col>
      <xdr:colOff>307203</xdr:colOff>
      <xdr:row>8</xdr:row>
      <xdr:rowOff>19051</xdr:rowOff>
    </xdr:to>
    <xdr:pic>
      <xdr:nvPicPr>
        <xdr:cNvPr id="16" name="Gráfico 15" descr="Marca de insignia1 con relleno sólid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13853" y="1337025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113503</xdr:colOff>
      <xdr:row>7</xdr:row>
      <xdr:rowOff>10249</xdr:rowOff>
    </xdr:from>
    <xdr:to>
      <xdr:col>6</xdr:col>
      <xdr:colOff>319529</xdr:colOff>
      <xdr:row>8</xdr:row>
      <xdr:rowOff>25775</xdr:rowOff>
    </xdr:to>
    <xdr:pic>
      <xdr:nvPicPr>
        <xdr:cNvPr id="17" name="Gráfico 16" descr="Marca de insignia1 con relleno sólid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89032" y="1343749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103418</xdr:colOff>
      <xdr:row>7</xdr:row>
      <xdr:rowOff>11369</xdr:rowOff>
    </xdr:from>
    <xdr:to>
      <xdr:col>5</xdr:col>
      <xdr:colOff>309444</xdr:colOff>
      <xdr:row>8</xdr:row>
      <xdr:rowOff>26895</xdr:rowOff>
    </xdr:to>
    <xdr:pic>
      <xdr:nvPicPr>
        <xdr:cNvPr id="18" name="Gráfico 17" descr="Marca de insignia1 con relleno sólido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47521" y="1344869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100853</xdr:colOff>
      <xdr:row>8</xdr:row>
      <xdr:rowOff>0</xdr:rowOff>
    </xdr:from>
    <xdr:to>
      <xdr:col>4</xdr:col>
      <xdr:colOff>306879</xdr:colOff>
      <xdr:row>9</xdr:row>
      <xdr:rowOff>15526</xdr:rowOff>
    </xdr:to>
    <xdr:pic>
      <xdr:nvPicPr>
        <xdr:cNvPr id="19" name="Gráfico 18" descr="Marca de insignia1 con relleno sólid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13529" y="1524000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113179</xdr:colOff>
      <xdr:row>8</xdr:row>
      <xdr:rowOff>6724</xdr:rowOff>
    </xdr:from>
    <xdr:to>
      <xdr:col>6</xdr:col>
      <xdr:colOff>319205</xdr:colOff>
      <xdr:row>9</xdr:row>
      <xdr:rowOff>22250</xdr:rowOff>
    </xdr:to>
    <xdr:pic>
      <xdr:nvPicPr>
        <xdr:cNvPr id="20" name="Gráfico 19" descr="Marca de insignia1 con relleno sólido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88708" y="1530724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103094</xdr:colOff>
      <xdr:row>8</xdr:row>
      <xdr:rowOff>7844</xdr:rowOff>
    </xdr:from>
    <xdr:to>
      <xdr:col>5</xdr:col>
      <xdr:colOff>309120</xdr:colOff>
      <xdr:row>9</xdr:row>
      <xdr:rowOff>23370</xdr:rowOff>
    </xdr:to>
    <xdr:pic>
      <xdr:nvPicPr>
        <xdr:cNvPr id="21" name="Gráfico 20" descr="Marca de insignia1 con relleno sólid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47197" y="1531844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8</xdr:row>
      <xdr:rowOff>184897</xdr:rowOff>
    </xdr:from>
    <xdr:to>
      <xdr:col>4</xdr:col>
      <xdr:colOff>301277</xdr:colOff>
      <xdr:row>10</xdr:row>
      <xdr:rowOff>9923</xdr:rowOff>
    </xdr:to>
    <xdr:pic>
      <xdr:nvPicPr>
        <xdr:cNvPr id="22" name="Gráfico 21" descr="Marca de insignia1 con relleno sólido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07927" y="1708897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107577</xdr:colOff>
      <xdr:row>9</xdr:row>
      <xdr:rowOff>1121</xdr:rowOff>
    </xdr:from>
    <xdr:to>
      <xdr:col>6</xdr:col>
      <xdr:colOff>313603</xdr:colOff>
      <xdr:row>10</xdr:row>
      <xdr:rowOff>16647</xdr:rowOff>
    </xdr:to>
    <xdr:pic>
      <xdr:nvPicPr>
        <xdr:cNvPr id="23" name="Gráfico 22" descr="Marca de insignia1 con relleno sólido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83106" y="1715621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97492</xdr:colOff>
      <xdr:row>9</xdr:row>
      <xdr:rowOff>2241</xdr:rowOff>
    </xdr:from>
    <xdr:to>
      <xdr:col>5</xdr:col>
      <xdr:colOff>303518</xdr:colOff>
      <xdr:row>10</xdr:row>
      <xdr:rowOff>17767</xdr:rowOff>
    </xdr:to>
    <xdr:pic>
      <xdr:nvPicPr>
        <xdr:cNvPr id="24" name="Gráfico 23" descr="Marca de insignia1 con relleno sólido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41595" y="1716741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9</xdr:row>
      <xdr:rowOff>184897</xdr:rowOff>
    </xdr:from>
    <xdr:to>
      <xdr:col>4</xdr:col>
      <xdr:colOff>301277</xdr:colOff>
      <xdr:row>11</xdr:row>
      <xdr:rowOff>9923</xdr:rowOff>
    </xdr:to>
    <xdr:pic>
      <xdr:nvPicPr>
        <xdr:cNvPr id="25" name="Gráfico 24" descr="Marca de insignia1 con relleno sólido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07927" y="1899397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107577</xdr:colOff>
      <xdr:row>10</xdr:row>
      <xdr:rowOff>1121</xdr:rowOff>
    </xdr:from>
    <xdr:to>
      <xdr:col>6</xdr:col>
      <xdr:colOff>313603</xdr:colOff>
      <xdr:row>11</xdr:row>
      <xdr:rowOff>16647</xdr:rowOff>
    </xdr:to>
    <xdr:pic>
      <xdr:nvPicPr>
        <xdr:cNvPr id="26" name="Gráfico 25" descr="Marca de insignia1 con relleno sólido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83106" y="1906121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97492</xdr:colOff>
      <xdr:row>10</xdr:row>
      <xdr:rowOff>2241</xdr:rowOff>
    </xdr:from>
    <xdr:to>
      <xdr:col>5</xdr:col>
      <xdr:colOff>303518</xdr:colOff>
      <xdr:row>11</xdr:row>
      <xdr:rowOff>17767</xdr:rowOff>
    </xdr:to>
    <xdr:pic>
      <xdr:nvPicPr>
        <xdr:cNvPr id="27" name="Gráfico 26" descr="Marca de insignia1 con relleno sólido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41595" y="1907241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110142</xdr:colOff>
      <xdr:row>6</xdr:row>
      <xdr:rowOff>6887</xdr:rowOff>
    </xdr:from>
    <xdr:to>
      <xdr:col>5</xdr:col>
      <xdr:colOff>316168</xdr:colOff>
      <xdr:row>7</xdr:row>
      <xdr:rowOff>22413</xdr:rowOff>
    </xdr:to>
    <xdr:pic>
      <xdr:nvPicPr>
        <xdr:cNvPr id="28" name="Gráfico 27" descr="Marca de insignia1 con relleno sólido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54245" y="1149887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100853</xdr:colOff>
      <xdr:row>10</xdr:row>
      <xdr:rowOff>184897</xdr:rowOff>
    </xdr:from>
    <xdr:to>
      <xdr:col>5</xdr:col>
      <xdr:colOff>306879</xdr:colOff>
      <xdr:row>12</xdr:row>
      <xdr:rowOff>9923</xdr:rowOff>
    </xdr:to>
    <xdr:pic>
      <xdr:nvPicPr>
        <xdr:cNvPr id="29" name="Gráfico 28" descr="Marca de insignia1 con relleno sólido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44956" y="2089897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105977</xdr:colOff>
      <xdr:row>11</xdr:row>
      <xdr:rowOff>186497</xdr:rowOff>
    </xdr:from>
    <xdr:to>
      <xdr:col>5</xdr:col>
      <xdr:colOff>312003</xdr:colOff>
      <xdr:row>13</xdr:row>
      <xdr:rowOff>11523</xdr:rowOff>
    </xdr:to>
    <xdr:pic>
      <xdr:nvPicPr>
        <xdr:cNvPr id="30" name="Gráfico 29" descr="Cerrar con relleno sólido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50080" y="2281997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106456</xdr:colOff>
      <xdr:row>12</xdr:row>
      <xdr:rowOff>184897</xdr:rowOff>
    </xdr:from>
    <xdr:to>
      <xdr:col>5</xdr:col>
      <xdr:colOff>312482</xdr:colOff>
      <xdr:row>14</xdr:row>
      <xdr:rowOff>9923</xdr:rowOff>
    </xdr:to>
    <xdr:pic>
      <xdr:nvPicPr>
        <xdr:cNvPr id="31" name="Gráfico 30" descr="Cerrar con relleno sólid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50559" y="2470897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120226</xdr:colOff>
      <xdr:row>6</xdr:row>
      <xdr:rowOff>163</xdr:rowOff>
    </xdr:from>
    <xdr:to>
      <xdr:col>6</xdr:col>
      <xdr:colOff>326252</xdr:colOff>
      <xdr:row>7</xdr:row>
      <xdr:rowOff>15689</xdr:rowOff>
    </xdr:to>
    <xdr:pic>
      <xdr:nvPicPr>
        <xdr:cNvPr id="33" name="Gráfico 32" descr="Marca de insignia1 con relleno sólid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95755" y="1143163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100854</xdr:colOff>
      <xdr:row>11</xdr:row>
      <xdr:rowOff>0</xdr:rowOff>
    </xdr:from>
    <xdr:to>
      <xdr:col>6</xdr:col>
      <xdr:colOff>306880</xdr:colOff>
      <xdr:row>12</xdr:row>
      <xdr:rowOff>15526</xdr:rowOff>
    </xdr:to>
    <xdr:pic>
      <xdr:nvPicPr>
        <xdr:cNvPr id="34" name="Gráfico 33" descr="Marca de insignia1 con relleno sólid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76383" y="2095500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106456</xdr:colOff>
      <xdr:row>11</xdr:row>
      <xdr:rowOff>179295</xdr:rowOff>
    </xdr:from>
    <xdr:to>
      <xdr:col>6</xdr:col>
      <xdr:colOff>312482</xdr:colOff>
      <xdr:row>13</xdr:row>
      <xdr:rowOff>4321</xdr:rowOff>
    </xdr:to>
    <xdr:pic>
      <xdr:nvPicPr>
        <xdr:cNvPr id="35" name="Gráfico 34" descr="Marca de insignia1 con relleno sólid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81985" y="2274795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100853</xdr:colOff>
      <xdr:row>12</xdr:row>
      <xdr:rowOff>184897</xdr:rowOff>
    </xdr:from>
    <xdr:to>
      <xdr:col>6</xdr:col>
      <xdr:colOff>306879</xdr:colOff>
      <xdr:row>14</xdr:row>
      <xdr:rowOff>9923</xdr:rowOff>
    </xdr:to>
    <xdr:pic>
      <xdr:nvPicPr>
        <xdr:cNvPr id="36" name="Gráfico 35" descr="Marca de insignia1 con relleno sólid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87588" y="2493309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4</xdr:col>
      <xdr:colOff>96371</xdr:colOff>
      <xdr:row>14</xdr:row>
      <xdr:rowOff>1120</xdr:rowOff>
    </xdr:from>
    <xdr:to>
      <xdr:col>4</xdr:col>
      <xdr:colOff>302397</xdr:colOff>
      <xdr:row>15</xdr:row>
      <xdr:rowOff>16646</xdr:rowOff>
    </xdr:to>
    <xdr:pic>
      <xdr:nvPicPr>
        <xdr:cNvPr id="2" name="Gráfico 1" descr="Marca de insignia1 con relleno sóli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09047" y="2690532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5</xdr:col>
      <xdr:colOff>114299</xdr:colOff>
      <xdr:row>14</xdr:row>
      <xdr:rowOff>7844</xdr:rowOff>
    </xdr:from>
    <xdr:to>
      <xdr:col>5</xdr:col>
      <xdr:colOff>320325</xdr:colOff>
      <xdr:row>15</xdr:row>
      <xdr:rowOff>23370</xdr:rowOff>
    </xdr:to>
    <xdr:pic>
      <xdr:nvPicPr>
        <xdr:cNvPr id="4" name="Gráfico 3" descr="Marca de insignia1 con relleno sólid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64005" y="2697256"/>
          <a:ext cx="206026" cy="206026"/>
        </a:xfrm>
        <a:prstGeom prst="rect">
          <a:avLst/>
        </a:prstGeom>
      </xdr:spPr>
    </xdr:pic>
    <xdr:clientData/>
  </xdr:twoCellAnchor>
  <xdr:twoCellAnchor editAs="oneCell">
    <xdr:from>
      <xdr:col>6</xdr:col>
      <xdr:colOff>104215</xdr:colOff>
      <xdr:row>13</xdr:row>
      <xdr:rowOff>182656</xdr:rowOff>
    </xdr:from>
    <xdr:to>
      <xdr:col>6</xdr:col>
      <xdr:colOff>310241</xdr:colOff>
      <xdr:row>15</xdr:row>
      <xdr:rowOff>7682</xdr:rowOff>
    </xdr:to>
    <xdr:pic>
      <xdr:nvPicPr>
        <xdr:cNvPr id="5" name="Gráfico 4" descr="Marca de insignia1 con relleno sólid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790950" y="2681568"/>
          <a:ext cx="206026" cy="206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257175</xdr:colOff>
          <xdr:row>6</xdr:row>
          <xdr:rowOff>9525</xdr:rowOff>
        </xdr:from>
        <xdr:to>
          <xdr:col>6</xdr:col>
          <xdr:colOff>485775</xdr:colOff>
          <xdr:row>7</xdr:row>
          <xdr:rowOff>9525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3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257175</xdr:colOff>
          <xdr:row>5</xdr:row>
          <xdr:rowOff>9525</xdr:rowOff>
        </xdr:from>
        <xdr:to>
          <xdr:col>6</xdr:col>
          <xdr:colOff>485775</xdr:colOff>
          <xdr:row>6</xdr:row>
          <xdr:rowOff>9525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3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7</xdr:row>
          <xdr:rowOff>19050</xdr:rowOff>
        </xdr:from>
        <xdr:to>
          <xdr:col>6</xdr:col>
          <xdr:colOff>495300</xdr:colOff>
          <xdr:row>8</xdr:row>
          <xdr:rowOff>19050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3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8</xdr:row>
          <xdr:rowOff>0</xdr:rowOff>
        </xdr:from>
        <xdr:to>
          <xdr:col>6</xdr:col>
          <xdr:colOff>495300</xdr:colOff>
          <xdr:row>9</xdr:row>
          <xdr:rowOff>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3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9</xdr:row>
          <xdr:rowOff>0</xdr:rowOff>
        </xdr:from>
        <xdr:to>
          <xdr:col>6</xdr:col>
          <xdr:colOff>495300</xdr:colOff>
          <xdr:row>10</xdr:row>
          <xdr:rowOff>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3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10</xdr:row>
          <xdr:rowOff>9525</xdr:rowOff>
        </xdr:from>
        <xdr:to>
          <xdr:col>6</xdr:col>
          <xdr:colOff>495300</xdr:colOff>
          <xdr:row>11</xdr:row>
          <xdr:rowOff>9525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3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11</xdr:row>
          <xdr:rowOff>0</xdr:rowOff>
        </xdr:from>
        <xdr:to>
          <xdr:col>6</xdr:col>
          <xdr:colOff>504825</xdr:colOff>
          <xdr:row>12</xdr:row>
          <xdr:rowOff>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3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12</xdr:row>
          <xdr:rowOff>0</xdr:rowOff>
        </xdr:from>
        <xdr:to>
          <xdr:col>6</xdr:col>
          <xdr:colOff>504825</xdr:colOff>
          <xdr:row>13</xdr:row>
          <xdr:rowOff>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3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295275</xdr:colOff>
          <xdr:row>14</xdr:row>
          <xdr:rowOff>9525</xdr:rowOff>
        </xdr:from>
        <xdr:to>
          <xdr:col>6</xdr:col>
          <xdr:colOff>523875</xdr:colOff>
          <xdr:row>15</xdr:row>
          <xdr:rowOff>9525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3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295275</xdr:colOff>
          <xdr:row>13</xdr:row>
          <xdr:rowOff>9525</xdr:rowOff>
        </xdr:from>
        <xdr:to>
          <xdr:col>6</xdr:col>
          <xdr:colOff>523875</xdr:colOff>
          <xdr:row>14</xdr:row>
          <xdr:rowOff>9525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3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15</xdr:row>
          <xdr:rowOff>19050</xdr:rowOff>
        </xdr:from>
        <xdr:to>
          <xdr:col>6</xdr:col>
          <xdr:colOff>533400</xdr:colOff>
          <xdr:row>16</xdr:row>
          <xdr:rowOff>19050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3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16</xdr:row>
          <xdr:rowOff>0</xdr:rowOff>
        </xdr:from>
        <xdr:to>
          <xdr:col>6</xdr:col>
          <xdr:colOff>533400</xdr:colOff>
          <xdr:row>17</xdr:row>
          <xdr:rowOff>0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3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17</xdr:row>
          <xdr:rowOff>0</xdr:rowOff>
        </xdr:from>
        <xdr:to>
          <xdr:col>6</xdr:col>
          <xdr:colOff>533400</xdr:colOff>
          <xdr:row>18</xdr:row>
          <xdr:rowOff>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3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18</xdr:row>
          <xdr:rowOff>9525</xdr:rowOff>
        </xdr:from>
        <xdr:to>
          <xdr:col>6</xdr:col>
          <xdr:colOff>533400</xdr:colOff>
          <xdr:row>19</xdr:row>
          <xdr:rowOff>9525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3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314325</xdr:colOff>
          <xdr:row>19</xdr:row>
          <xdr:rowOff>0</xdr:rowOff>
        </xdr:from>
        <xdr:to>
          <xdr:col>6</xdr:col>
          <xdr:colOff>542925</xdr:colOff>
          <xdr:row>20</xdr:row>
          <xdr:rowOff>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3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314325</xdr:colOff>
          <xdr:row>20</xdr:row>
          <xdr:rowOff>0</xdr:rowOff>
        </xdr:from>
        <xdr:to>
          <xdr:col>6</xdr:col>
          <xdr:colOff>542925</xdr:colOff>
          <xdr:row>21</xdr:row>
          <xdr:rowOff>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3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19050</xdr:rowOff>
        </xdr:from>
        <xdr:to>
          <xdr:col>6</xdr:col>
          <xdr:colOff>552450</xdr:colOff>
          <xdr:row>23</xdr:row>
          <xdr:rowOff>19050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3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19050</xdr:rowOff>
        </xdr:from>
        <xdr:to>
          <xdr:col>6</xdr:col>
          <xdr:colOff>552450</xdr:colOff>
          <xdr:row>22</xdr:row>
          <xdr:rowOff>19050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3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23</xdr:row>
          <xdr:rowOff>28575</xdr:rowOff>
        </xdr:from>
        <xdr:to>
          <xdr:col>6</xdr:col>
          <xdr:colOff>561975</xdr:colOff>
          <xdr:row>24</xdr:row>
          <xdr:rowOff>28575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3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24</xdr:row>
          <xdr:rowOff>9525</xdr:rowOff>
        </xdr:from>
        <xdr:to>
          <xdr:col>6</xdr:col>
          <xdr:colOff>561975</xdr:colOff>
          <xdr:row>25</xdr:row>
          <xdr:rowOff>9525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3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25</xdr:row>
          <xdr:rowOff>0</xdr:rowOff>
        </xdr:from>
        <xdr:to>
          <xdr:col>6</xdr:col>
          <xdr:colOff>561975</xdr:colOff>
          <xdr:row>26</xdr:row>
          <xdr:rowOff>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3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25</xdr:row>
          <xdr:rowOff>19050</xdr:rowOff>
        </xdr:from>
        <xdr:to>
          <xdr:col>6</xdr:col>
          <xdr:colOff>561975</xdr:colOff>
          <xdr:row>26</xdr:row>
          <xdr:rowOff>19050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3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26</xdr:row>
          <xdr:rowOff>9525</xdr:rowOff>
        </xdr:from>
        <xdr:to>
          <xdr:col>6</xdr:col>
          <xdr:colOff>571500</xdr:colOff>
          <xdr:row>27</xdr:row>
          <xdr:rowOff>9525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3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27</xdr:row>
          <xdr:rowOff>9525</xdr:rowOff>
        </xdr:from>
        <xdr:to>
          <xdr:col>6</xdr:col>
          <xdr:colOff>571500</xdr:colOff>
          <xdr:row>28</xdr:row>
          <xdr:rowOff>9525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3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DBB7C6-DA2F-4A68-958A-58F35B92ED3C}" name="Productos7" displayName="Productos7" ref="B4:E15" totalsRowShown="0">
  <autoFilter ref="B4:E15" xr:uid="{91DBB7C6-DA2F-4A68-958A-58F35B92ED3C}"/>
  <tableColumns count="4">
    <tableColumn id="1" xr3:uid="{5EF4777B-C38B-4742-8A1C-C7098D0B5334}" name="Productos"/>
    <tableColumn id="2" xr3:uid="{5B9FEDCC-B0E6-4AEA-91DD-C631698A6FF3}" name="Precio de venta" dataDxfId="21"/>
    <tableColumn id="3" xr3:uid="{64C73E49-8115-4908-944A-3DC67BDA6A3A}" name="Vendidos" dataDxfId="20">
      <calculatedColumnFormula>SUMIF(Ventas[Producto],Productos7[[#This Row],[Productos]],Ventas[Unidades Vendidas])</calculatedColumnFormula>
    </tableColumn>
    <tableColumn id="5" xr3:uid="{5016DE62-6D16-4769-93C8-6B810A763CF5}" name="Subtotal" dataDxfId="19">
      <calculatedColumnFormula>Productos7[[#This Row],[Precio de venta]]*Productos7[[#This Row],[Vendidos]]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2C9FB-E6C9-4933-BC61-94206A20CD1C}" name="Productos" displayName="Productos" ref="C4:G15" totalsRowShown="0">
  <autoFilter ref="C4:G15" xr:uid="{F292C9FB-E6C9-4933-BC61-94206A20CD1C}"/>
  <tableColumns count="5">
    <tableColumn id="1" xr3:uid="{77D53C48-ABC9-414B-ACD4-9A917EB5C2AA}" name="Productos"/>
    <tableColumn id="5" xr3:uid="{3D7801A9-4AEA-4E8D-9995-41021E527318}" name="Costo promedio" dataDxfId="18">
      <calculatedColumnFormula>AVERAGEIF(Compras_[Productos],Productos[[#This Row],[Productos]],Compras_[Costo Unit])</calculatedColumnFormula>
    </tableColumn>
    <tableColumn id="2" xr3:uid="{D76649DB-9FFE-4B04-B512-D7A1FFB4AF4F}" name="Precio de venta" dataDxfId="17"/>
    <tableColumn id="3" xr3:uid="{DD80E22F-CE91-410E-8A83-A1A479742954}" name="Existencias" dataDxfId="16">
      <calculatedColumnFormula>SUMIF(Compras_[Productos],Productos[[#This Row],[Productos]],Compras_[Unidades])-Productos7[[#This Row],[Vendidos]]</calculatedColumnFormula>
    </tableColumn>
    <tableColumn id="4" xr3:uid="{B7C453E7-29D2-4C86-A56D-632BF83FFC52}" name="Ganancias" dataDxfId="9">
      <calculatedColumnFormula>Productos7[[#This Row],[Vendidos]]*Productos[[#This Row],[Precio de venta]]-(SUMIF(Compras_[Productos],Productos[[#This Row],[Productos]],Compras_[Costo]))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4D391F-5A9D-4B8B-84BC-E7B60E2FE36F}" name="Compras_" displayName="Compras_" ref="B5:G26" totalsRowShown="0">
  <autoFilter ref="B5:G26" xr:uid="{C54D391F-5A9D-4B8B-84BC-E7B60E2FE36F}"/>
  <tableColumns count="6">
    <tableColumn id="1" xr3:uid="{73B3A6A7-EAEE-4DEC-9183-399E92181266}" name="Productos"/>
    <tableColumn id="2" xr3:uid="{14337071-BBD0-4D2F-9FD6-DF67C0E46423}" name="Link" dataCellStyle="Hipervínculo"/>
    <tableColumn id="3" xr3:uid="{D8587CD6-A954-40FE-AA61-2FFAC86BCA77}" name="Costo" dataDxfId="15"/>
    <tableColumn id="4" xr3:uid="{3AAA74BC-61FA-4289-BF67-24FE20AA008F}" name="Unidades"/>
    <tableColumn id="5" xr3:uid="{1E6743E1-9C40-41BD-9020-9E54A5873BF0}" name="Costo Unit" dataDxfId="14">
      <calculatedColumnFormula>IF(Compras_[[#This Row],[Unidades]]&gt;0,Compras_[[#This Row],[Costo]]/Compras_[[#This Row],[Unidades]],Compras_[[#This Row],[Costo]])</calculatedColumnFormula>
    </tableColumn>
    <tableColumn id="6" xr3:uid="{30BEB8CA-A243-4455-9C47-79807DF54DCC}" name="Recibido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CF29A-46E1-4BB5-B89F-1B194C3479BF}" name="Materiales" displayName="Materiales" ref="K5:N11" totalsRowShown="0">
  <autoFilter ref="K5:N11" xr:uid="{6C6CF29A-46E1-4BB5-B89F-1B194C3479BF}"/>
  <tableColumns count="4">
    <tableColumn id="1" xr3:uid="{35A73C7A-BD2A-4678-81B4-A39556B484E0}" name="Material"/>
    <tableColumn id="2" xr3:uid="{9227C2F1-42C0-442E-B3A0-B1FD03DFF673}" name="Link"/>
    <tableColumn id="5" xr3:uid="{58009C05-824A-447C-853E-6A4AEDA17127}" name="Cantidad"/>
    <tableColumn id="3" xr3:uid="{5C1489A4-32F7-4315-9647-79E8B85F510B}" name="Precio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7BC8A9-1C72-4F32-A326-A61B15EE1F33}" name="Ventas" displayName="Ventas" ref="C6:D22" totalsRowShown="0">
  <autoFilter ref="C6:D22" xr:uid="{417BC8A9-1C72-4F32-A326-A61B15EE1F33}"/>
  <tableColumns count="2">
    <tableColumn id="1" xr3:uid="{3C2CF9FE-F592-4BC8-80F9-7964C455FE1A}" name="Producto"/>
    <tableColumn id="2" xr3:uid="{BD111858-019F-46C2-8A87-F138442F9E82}" name="Unidades Vendid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61BA1-9DAA-44EB-91E6-D3C72D6464CE}" name="Inversion" displayName="Inversion" ref="B3:E26" totalsRowShown="0">
  <autoFilter ref="B3:E26" xr:uid="{C5E61BA1-9DAA-44EB-91E6-D3C72D6464CE}"/>
  <tableColumns count="4">
    <tableColumn id="1" xr3:uid="{E36A52DB-3CBA-4D91-A670-B761366B7FFD}" name="Productos"/>
    <tableColumn id="3" xr3:uid="{F101ECB6-C28A-4063-8CB8-B554A20B51F0}" name="Costo" dataDxfId="11"/>
    <tableColumn id="4" xr3:uid="{6694E5E9-C52B-4AC3-BD6B-E6C4B5691077}" name="Unidades"/>
    <tableColumn id="5" xr3:uid="{1C3A0693-74BE-41F2-BFDC-451E59800CE8}" name="Costo Unit" dataDxfId="10">
      <calculatedColumnFormula>IF(Inversion[[#This Row],[Unidades]]&gt;0,Inversion[[#This Row],[Costo]]/Inversion[[#This Row],[Unidades]],Inversion[[#This Row],[Costo]])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0F4164-6170-47FE-B0C1-D64D4DA2A6D5}" name="Tabla7" displayName="Tabla7" ref="C7:D13" totalsRowShown="0">
  <autoFilter ref="C7:D13" xr:uid="{C60F4164-6170-47FE-B0C1-D64D4DA2A6D5}"/>
  <tableColumns count="2">
    <tableColumn id="1" xr3:uid="{9DE52990-7079-4607-AD56-3AC4F206B1A2}" name="Unidades"/>
    <tableColumn id="2" xr3:uid="{3AC1E08A-2C2E-4DBB-B299-10ECCD98E6CF}" name="Pruduc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s.aliexpress.com/item/1005004029392929.html?spm=a2g0o.order_list.order_list_main.143.7031194d45vmKa&amp;gatewayAdapt=glo2esp" TargetMode="External"/><Relationship Id="rId18" Type="http://schemas.openxmlformats.org/officeDocument/2006/relationships/hyperlink" Target="https://es.aliexpress.com/item/1005005805204505.html?spm=a2g0o.order_list.order_list_main.17.7031194d45vmKa&amp;gatewayAdapt=glo2esp" TargetMode="External"/><Relationship Id="rId26" Type="http://schemas.openxmlformats.org/officeDocument/2006/relationships/ctrlProp" Target="../ctrlProps/ctrlProp2.xml"/><Relationship Id="rId39" Type="http://schemas.openxmlformats.org/officeDocument/2006/relationships/ctrlProp" Target="../ctrlProps/ctrlProp15.xml"/><Relationship Id="rId21" Type="http://schemas.openxmlformats.org/officeDocument/2006/relationships/hyperlink" Target="https://es.aliexpress.com/item/4000329917094.html?spm=a2g0o.order_detail.order_detail_item.7.7fb539d3ej6OXw&amp;gatewayAdapt=glo2esp" TargetMode="External"/><Relationship Id="rId34" Type="http://schemas.openxmlformats.org/officeDocument/2006/relationships/ctrlProp" Target="../ctrlProps/ctrlProp10.xml"/><Relationship Id="rId42" Type="http://schemas.openxmlformats.org/officeDocument/2006/relationships/ctrlProp" Target="../ctrlProps/ctrlProp18.xml"/><Relationship Id="rId47" Type="http://schemas.openxmlformats.org/officeDocument/2006/relationships/ctrlProp" Target="../ctrlProps/ctrlProp23.xml"/><Relationship Id="rId50" Type="http://schemas.openxmlformats.org/officeDocument/2006/relationships/table" Target="../tables/table4.xml"/><Relationship Id="rId7" Type="http://schemas.openxmlformats.org/officeDocument/2006/relationships/hyperlink" Target="https://es.aliexpress.com/item/1005004532915413.html?spm=a2g0o.order_list.order_list_main.81.7031194d45vmKa&amp;gatewayAdapt=glo2esp" TargetMode="External"/><Relationship Id="rId2" Type="http://schemas.openxmlformats.org/officeDocument/2006/relationships/hyperlink" Target="https://es.aliexpress.com/item/1005004029392929.html?spm=a2g0o.order_list.order_list_main.143.7031194d45vmKa&amp;gatewayAdapt=glo2esp" TargetMode="External"/><Relationship Id="rId16" Type="http://schemas.openxmlformats.org/officeDocument/2006/relationships/hyperlink" Target="https://es.aliexpress.com/item/1005004597156091.html?spm=a2g0o.order_list.order_list_main.29.7031194d45vmKa&amp;gatewayAdapt=glo2esp" TargetMode="External"/><Relationship Id="rId29" Type="http://schemas.openxmlformats.org/officeDocument/2006/relationships/ctrlProp" Target="../ctrlProps/ctrlProp5.xml"/><Relationship Id="rId11" Type="http://schemas.openxmlformats.org/officeDocument/2006/relationships/hyperlink" Target="https://es.aliexpress.com/item/1005002603397361.html?spm=a2g0o.order_list.order_list_main.137.7031194d45vmKa&amp;gatewayAdapt=glo2esp" TargetMode="External"/><Relationship Id="rId24" Type="http://schemas.openxmlformats.org/officeDocument/2006/relationships/vmlDrawing" Target="../drawings/vmlDrawing3.vml"/><Relationship Id="rId32" Type="http://schemas.openxmlformats.org/officeDocument/2006/relationships/ctrlProp" Target="../ctrlProps/ctrlProp8.xml"/><Relationship Id="rId37" Type="http://schemas.openxmlformats.org/officeDocument/2006/relationships/ctrlProp" Target="../ctrlProps/ctrlProp13.xml"/><Relationship Id="rId40" Type="http://schemas.openxmlformats.org/officeDocument/2006/relationships/ctrlProp" Target="../ctrlProps/ctrlProp16.xml"/><Relationship Id="rId45" Type="http://schemas.openxmlformats.org/officeDocument/2006/relationships/ctrlProp" Target="../ctrlProps/ctrlProp21.xml"/><Relationship Id="rId5" Type="http://schemas.openxmlformats.org/officeDocument/2006/relationships/hyperlink" Target="https://es.aliexpress.com/item/32847096736.html?spm=a2g0o.order_detail.order_detail_item.7.2c0f39d3FEIxME&amp;gatewayAdapt=glo2esp" TargetMode="External"/><Relationship Id="rId15" Type="http://schemas.openxmlformats.org/officeDocument/2006/relationships/hyperlink" Target="https://es.aliexpress.com/item/1005005015777018.html?spm=a2g0o.order_list.order_list_main.87.7031194d45vmKa&amp;gatewayAdapt=glo2esp" TargetMode="External"/><Relationship Id="rId23" Type="http://schemas.openxmlformats.org/officeDocument/2006/relationships/drawing" Target="../drawings/drawing2.xml"/><Relationship Id="rId28" Type="http://schemas.openxmlformats.org/officeDocument/2006/relationships/ctrlProp" Target="../ctrlProps/ctrlProp4.xml"/><Relationship Id="rId36" Type="http://schemas.openxmlformats.org/officeDocument/2006/relationships/ctrlProp" Target="../ctrlProps/ctrlProp12.xml"/><Relationship Id="rId49" Type="http://schemas.openxmlformats.org/officeDocument/2006/relationships/table" Target="../tables/table3.xml"/><Relationship Id="rId10" Type="http://schemas.openxmlformats.org/officeDocument/2006/relationships/hyperlink" Target="https://es.aliexpress.com/item/4000203371860.html?spm=a2g0o.order_list.order_list_main.99.7031194d45vmKa&amp;gatewayAdapt=glo2esp" TargetMode="External"/><Relationship Id="rId19" Type="http://schemas.openxmlformats.org/officeDocument/2006/relationships/hyperlink" Target="https://es.aliexpress.com/item/1005005445824329.html?spm=a2g0o.order_list.order_list_main.11.7031194d45vmKa&amp;gatewayAdapt=glo2esp" TargetMode="External"/><Relationship Id="rId31" Type="http://schemas.openxmlformats.org/officeDocument/2006/relationships/ctrlProp" Target="../ctrlProps/ctrlProp7.xml"/><Relationship Id="rId44" Type="http://schemas.openxmlformats.org/officeDocument/2006/relationships/ctrlProp" Target="../ctrlProps/ctrlProp20.xml"/><Relationship Id="rId4" Type="http://schemas.openxmlformats.org/officeDocument/2006/relationships/hyperlink" Target="https://es.aliexpress.com/item/2028604633.html?spm=a2g0o.order_list.order_list_main.131.7031194d45vmKa&amp;gatewayAdapt=glo2esp" TargetMode="External"/><Relationship Id="rId9" Type="http://schemas.openxmlformats.org/officeDocument/2006/relationships/hyperlink" Target="https://es.aliexpress.com/item/33027830806.html?spm=a2g0o.order_list.order_list_main.186.7031194d45vmKa&amp;gatewayAdapt=glo2esp" TargetMode="External"/><Relationship Id="rId14" Type="http://schemas.openxmlformats.org/officeDocument/2006/relationships/hyperlink" Target="https://es.aliexpress.com/item/1005005015777018.html?spm=a2g0o.order_list.order_list_main.87.7031194d45vmKa&amp;gatewayAdapt=glo2esp" TargetMode="External"/><Relationship Id="rId22" Type="http://schemas.openxmlformats.org/officeDocument/2006/relationships/hyperlink" Target="https://es.aliexpress.com/item/32620337494.html?spm=a2g0o.order_list.order_list_main.159.7031194d45vmKa&amp;gatewayAdapt=glo2esp" TargetMode="External"/><Relationship Id="rId27" Type="http://schemas.openxmlformats.org/officeDocument/2006/relationships/ctrlProp" Target="../ctrlProps/ctrlProp3.xml"/><Relationship Id="rId30" Type="http://schemas.openxmlformats.org/officeDocument/2006/relationships/ctrlProp" Target="../ctrlProps/ctrlProp6.xml"/><Relationship Id="rId35" Type="http://schemas.openxmlformats.org/officeDocument/2006/relationships/ctrlProp" Target="../ctrlProps/ctrlProp11.xml"/><Relationship Id="rId43" Type="http://schemas.openxmlformats.org/officeDocument/2006/relationships/ctrlProp" Target="../ctrlProps/ctrlProp19.xml"/><Relationship Id="rId48" Type="http://schemas.openxmlformats.org/officeDocument/2006/relationships/ctrlProp" Target="../ctrlProps/ctrlProp24.xml"/><Relationship Id="rId8" Type="http://schemas.openxmlformats.org/officeDocument/2006/relationships/hyperlink" Target="https://es.aliexpress.com/item/1005004600538387.html?spm=a2g0o.order_list.order_list_main.76.7031194d45vmKa&amp;af=1015756&amp;afref=https%3A%2F%2Fc13.account.push4extension.com%2F&amp;cv=47843&amp;dp=44f5b4d8052ed7696094af7d14abc829&amp;mall_affr=pr3&amp;utm_campaign=1015756&amp;utm_content=47843&amp;utm_medium=cpa&amp;utm_source=admitad&amp;aff_fcid=4735b25b2fb344de9240debc89c0ef03-1692896343425-07223-_ePNSNV&amp;aff_fsk=_ePNSNV&amp;aff_platform=portals-tool&amp;sk=_ePNSNV&amp;aff_trace_key=4735b25b2fb344de9240debc89c0ef03-1692896343425-07223-_ePNSNV&amp;terminal_id=ca65a28deec44864af0dfa4524e40d8c&amp;afSmartRedirect=y" TargetMode="External"/><Relationship Id="rId51" Type="http://schemas.openxmlformats.org/officeDocument/2006/relationships/comments" Target="../comments3.xml"/><Relationship Id="rId3" Type="http://schemas.openxmlformats.org/officeDocument/2006/relationships/hyperlink" Target="https://es.aliexpress.com/item/1005002603397361.html?spm=a2g0o.order_list.order_list_main.137.7031194d45vmKa&amp;gatewayAdapt=glo2esp" TargetMode="External"/><Relationship Id="rId12" Type="http://schemas.openxmlformats.org/officeDocument/2006/relationships/hyperlink" Target="https://es.aliexpress.com/item/1005002603397361.html?spm=a2g0o.order_list.order_list_main.137.7031194d45vmKa&amp;gatewayAdapt=glo2esp" TargetMode="External"/><Relationship Id="rId17" Type="http://schemas.openxmlformats.org/officeDocument/2006/relationships/hyperlink" Target="https://es.aliexpress.com/item/1005004597156091.html?spm=a2g0o.order_list.order_list_main.29.7031194d45vmKa&amp;gatewayAdapt=glo2esp" TargetMode="External"/><Relationship Id="rId25" Type="http://schemas.openxmlformats.org/officeDocument/2006/relationships/ctrlProp" Target="../ctrlProps/ctrlProp1.xml"/><Relationship Id="rId33" Type="http://schemas.openxmlformats.org/officeDocument/2006/relationships/ctrlProp" Target="../ctrlProps/ctrlProp9.xml"/><Relationship Id="rId38" Type="http://schemas.openxmlformats.org/officeDocument/2006/relationships/ctrlProp" Target="../ctrlProps/ctrlProp14.xml"/><Relationship Id="rId46" Type="http://schemas.openxmlformats.org/officeDocument/2006/relationships/ctrlProp" Target="../ctrlProps/ctrlProp22.xml"/><Relationship Id="rId20" Type="http://schemas.openxmlformats.org/officeDocument/2006/relationships/hyperlink" Target="https://es.aliexpress.com/item/4001221537919.html?gatewayAdapt=glo2esp" TargetMode="External"/><Relationship Id="rId41" Type="http://schemas.openxmlformats.org/officeDocument/2006/relationships/ctrlProp" Target="../ctrlProps/ctrlProp17.xml"/><Relationship Id="rId1" Type="http://schemas.openxmlformats.org/officeDocument/2006/relationships/hyperlink" Target="https://es.aliexpress.com/item/33027830806.html?spm=a2g0o.order_list.order_list_main.186.7031194d45vmKa&amp;gatewayAdapt=glo2esp" TargetMode="External"/><Relationship Id="rId6" Type="http://schemas.openxmlformats.org/officeDocument/2006/relationships/hyperlink" Target="https://es.aliexpress.com/item/4000203371860.html?spm=a2g0o.order_list.order_list_main.99.7031194d45vmKa&amp;gatewayAdapt=glo2es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2FD8-1211-445E-B2D4-FB1AF21168C7}">
  <dimension ref="B4:E19"/>
  <sheetViews>
    <sheetView workbookViewId="0">
      <selection activeCell="H13" sqref="H13"/>
    </sheetView>
  </sheetViews>
  <sheetFormatPr baseColWidth="10" defaultRowHeight="15" x14ac:dyDescent="0.25"/>
  <cols>
    <col min="2" max="2" width="14.28515625" bestFit="1" customWidth="1"/>
    <col min="5" max="5" width="12" bestFit="1" customWidth="1"/>
  </cols>
  <sheetData>
    <row r="4" spans="2:5" x14ac:dyDescent="0.25">
      <c r="B4" t="s">
        <v>18</v>
      </c>
      <c r="C4" t="s">
        <v>26</v>
      </c>
      <c r="D4" t="s">
        <v>23</v>
      </c>
      <c r="E4" t="s">
        <v>39</v>
      </c>
    </row>
    <row r="5" spans="2:5" x14ac:dyDescent="0.25">
      <c r="B5" t="s">
        <v>7</v>
      </c>
      <c r="C5" s="11">
        <v>5</v>
      </c>
      <c r="D5" s="12">
        <f>SUMIF(Ventas[Producto],Productos7[[#This Row],[Productos]],Ventas[Unidades Vendidas])</f>
        <v>0</v>
      </c>
      <c r="E5" s="11">
        <f>Productos7[[#This Row],[Precio de venta]]*Productos7[[#This Row],[Vendidos]]</f>
        <v>0</v>
      </c>
    </row>
    <row r="6" spans="2:5" x14ac:dyDescent="0.25">
      <c r="B6" t="s">
        <v>10</v>
      </c>
      <c r="C6" s="11">
        <v>5</v>
      </c>
      <c r="D6" s="12">
        <f>SUMIF(Ventas[Producto],Productos7[[#This Row],[Productos]],Ventas[Unidades Vendidas])</f>
        <v>0</v>
      </c>
      <c r="E6" s="11">
        <f>Productos7[[#This Row],[Precio de venta]]*Productos7[[#This Row],[Vendidos]]</f>
        <v>0</v>
      </c>
    </row>
    <row r="7" spans="2:5" x14ac:dyDescent="0.25">
      <c r="B7" t="s">
        <v>9</v>
      </c>
      <c r="C7" s="11">
        <v>20</v>
      </c>
      <c r="D7" s="12">
        <f>SUMIF(Ventas[Producto],Productos7[[#This Row],[Productos]],Ventas[Unidades Vendidas])</f>
        <v>0</v>
      </c>
      <c r="E7" s="11">
        <f>Productos7[[#This Row],[Precio de venta]]*Productos7[[#This Row],[Vendidos]]</f>
        <v>0</v>
      </c>
    </row>
    <row r="8" spans="2:5" x14ac:dyDescent="0.25">
      <c r="B8" t="s">
        <v>3</v>
      </c>
      <c r="C8" s="11">
        <v>5</v>
      </c>
      <c r="D8" s="12">
        <f>SUMIF(Ventas[Producto],Productos7[[#This Row],[Productos]],Ventas[Unidades Vendidas])</f>
        <v>0</v>
      </c>
      <c r="E8" s="11">
        <f>Productos7[[#This Row],[Precio de venta]]*Productos7[[#This Row],[Vendidos]]</f>
        <v>0</v>
      </c>
    </row>
    <row r="9" spans="2:5" x14ac:dyDescent="0.25">
      <c r="B9" t="s">
        <v>4</v>
      </c>
      <c r="C9" s="11">
        <v>5</v>
      </c>
      <c r="D9" s="12">
        <f>SUMIF(Ventas[Producto],Productos7[[#This Row],[Productos]],Ventas[Unidades Vendidas])</f>
        <v>0</v>
      </c>
      <c r="E9" s="11">
        <f>Productos7[[#This Row],[Precio de venta]]*Productos7[[#This Row],[Vendidos]]</f>
        <v>0</v>
      </c>
    </row>
    <row r="10" spans="2:5" x14ac:dyDescent="0.25">
      <c r="B10" t="s">
        <v>6</v>
      </c>
      <c r="C10" s="11">
        <v>50</v>
      </c>
      <c r="D10" s="12">
        <f>SUMIF(Ventas[Producto],Productos7[[#This Row],[Productos]],Ventas[Unidades Vendidas])</f>
        <v>0</v>
      </c>
      <c r="E10" s="11">
        <f>Productos7[[#This Row],[Precio de venta]]*Productos7[[#This Row],[Vendidos]]</f>
        <v>0</v>
      </c>
    </row>
    <row r="11" spans="2:5" x14ac:dyDescent="0.25">
      <c r="B11" t="s">
        <v>8</v>
      </c>
      <c r="C11" s="11">
        <v>5</v>
      </c>
      <c r="D11" s="12">
        <f>SUMIF(Ventas[Producto],Productos7[[#This Row],[Productos]],Ventas[Unidades Vendidas])</f>
        <v>0</v>
      </c>
      <c r="E11" s="11">
        <f>Productos7[[#This Row],[Precio de venta]]*Productos7[[#This Row],[Vendidos]]</f>
        <v>0</v>
      </c>
    </row>
    <row r="12" spans="2:5" x14ac:dyDescent="0.25">
      <c r="B12" t="s">
        <v>2</v>
      </c>
      <c r="C12" s="11">
        <v>5</v>
      </c>
      <c r="D12" s="12">
        <f>SUMIF(Ventas[Producto],Productos7[[#This Row],[Productos]],Ventas[Unidades Vendidas])</f>
        <v>0</v>
      </c>
      <c r="E12" s="11">
        <f>Productos7[[#This Row],[Precio de venta]]*Productos7[[#This Row],[Vendidos]]</f>
        <v>0</v>
      </c>
    </row>
    <row r="13" spans="2:5" x14ac:dyDescent="0.25">
      <c r="B13" t="s">
        <v>1</v>
      </c>
      <c r="C13" s="11">
        <v>25</v>
      </c>
      <c r="D13" s="12">
        <f>SUMIF(Ventas[Producto],Productos7[[#This Row],[Productos]],Ventas[Unidades Vendidas])</f>
        <v>0</v>
      </c>
      <c r="E13" s="11">
        <f>Productos7[[#This Row],[Precio de venta]]*Productos7[[#This Row],[Vendidos]]</f>
        <v>0</v>
      </c>
    </row>
    <row r="14" spans="2:5" x14ac:dyDescent="0.25">
      <c r="B14" t="s">
        <v>5</v>
      </c>
      <c r="C14" s="11">
        <v>125</v>
      </c>
      <c r="D14" s="12">
        <f>SUMIF(Ventas[Producto],Productos7[[#This Row],[Productos]],Ventas[Unidades Vendidas])</f>
        <v>0</v>
      </c>
      <c r="E14" s="11">
        <f>Productos7[[#This Row],[Precio de venta]]*Productos7[[#This Row],[Vendidos]]</f>
        <v>0</v>
      </c>
    </row>
    <row r="15" spans="2:5" x14ac:dyDescent="0.25">
      <c r="B15" t="s">
        <v>47</v>
      </c>
      <c r="C15" s="11">
        <v>4</v>
      </c>
      <c r="D15" s="12">
        <f>SUMIF(Ventas[Producto],Productos7[[#This Row],[Productos]],Ventas[Unidades Vendidas])</f>
        <v>0</v>
      </c>
      <c r="E15" s="11">
        <f>Productos7[[#This Row],[Precio de venta]]*Productos7[[#This Row],[Vendidos]]</f>
        <v>0</v>
      </c>
    </row>
    <row r="17" spans="3:5" x14ac:dyDescent="0.25">
      <c r="C17" s="27" t="s">
        <v>40</v>
      </c>
      <c r="D17" s="27"/>
      <c r="E17" s="11">
        <f>SUM(E5:E16)</f>
        <v>0</v>
      </c>
    </row>
    <row r="18" spans="3:5" x14ac:dyDescent="0.25">
      <c r="C18" s="27" t="s">
        <v>41</v>
      </c>
      <c r="D18" s="27"/>
      <c r="E18" s="11">
        <f>Compras!Q5*(-1)</f>
        <v>-7331.630000000001</v>
      </c>
    </row>
    <row r="19" spans="3:5" x14ac:dyDescent="0.25">
      <c r="C19" s="27" t="s">
        <v>42</v>
      </c>
      <c r="D19" s="27"/>
      <c r="E19" s="11">
        <f>SUM(E17:E18)</f>
        <v>-7331.630000000001</v>
      </c>
    </row>
  </sheetData>
  <mergeCells count="3">
    <mergeCell ref="C17:D17"/>
    <mergeCell ref="C18:D18"/>
    <mergeCell ref="C19:D19"/>
  </mergeCells>
  <conditionalFormatting sqref="E17">
    <cfRule type="cellIs" dxfId="8" priority="4" operator="greaterThan">
      <formula>0</formula>
    </cfRule>
  </conditionalFormatting>
  <conditionalFormatting sqref="E18">
    <cfRule type="cellIs" dxfId="7" priority="3" operator="lessThan">
      <formula>0</formula>
    </cfRule>
  </conditionalFormatting>
  <conditionalFormatting sqref="E19">
    <cfRule type="cellIs" dxfId="6" priority="1" operator="lessThan">
      <formula>0</formula>
    </cfRule>
    <cfRule type="cellIs" dxfId="5" priority="2" operator="greater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51D1-CA39-4DE0-86B3-1778A3D2820E}">
  <dimension ref="B3:G16"/>
  <sheetViews>
    <sheetView tabSelected="1" topLeftCell="A4" zoomScale="170" zoomScaleNormal="170" workbookViewId="0">
      <selection activeCell="E16" sqref="E16"/>
    </sheetView>
  </sheetViews>
  <sheetFormatPr baseColWidth="10" defaultRowHeight="15" x14ac:dyDescent="0.25"/>
  <cols>
    <col min="2" max="2" width="5" bestFit="1" customWidth="1"/>
    <col min="3" max="3" width="14.28515625" bestFit="1" customWidth="1"/>
    <col min="5" max="7" width="6.5703125" bestFit="1" customWidth="1"/>
  </cols>
  <sheetData>
    <row r="3" spans="2:7" ht="15.75" thickBot="1" x14ac:dyDescent="0.3"/>
    <row r="4" spans="2:7" ht="15.75" thickBot="1" x14ac:dyDescent="0.3">
      <c r="B4" s="7" t="s">
        <v>14</v>
      </c>
      <c r="C4" s="8" t="s">
        <v>0</v>
      </c>
      <c r="D4" s="9" t="s">
        <v>15</v>
      </c>
      <c r="E4" s="20" t="s">
        <v>11</v>
      </c>
      <c r="F4" s="8" t="s">
        <v>12</v>
      </c>
      <c r="G4" s="9" t="s">
        <v>13</v>
      </c>
    </row>
    <row r="5" spans="2:7" x14ac:dyDescent="0.25">
      <c r="B5" s="4">
        <v>5</v>
      </c>
      <c r="C5" s="5" t="s">
        <v>7</v>
      </c>
      <c r="D5" s="24">
        <v>25</v>
      </c>
      <c r="E5" s="21"/>
      <c r="F5" s="5"/>
      <c r="G5" s="6"/>
    </row>
    <row r="6" spans="2:7" x14ac:dyDescent="0.25">
      <c r="B6" s="2">
        <v>2</v>
      </c>
      <c r="C6" s="1" t="s">
        <v>10</v>
      </c>
      <c r="D6" s="25">
        <v>20</v>
      </c>
      <c r="E6" s="22"/>
      <c r="F6" s="1"/>
      <c r="G6" s="3"/>
    </row>
    <row r="7" spans="2:7" x14ac:dyDescent="0.25">
      <c r="B7" s="2">
        <v>3</v>
      </c>
      <c r="C7" s="1" t="s">
        <v>9</v>
      </c>
      <c r="D7" s="25">
        <v>75</v>
      </c>
      <c r="E7" s="22"/>
      <c r="F7" s="1"/>
      <c r="G7" s="3"/>
    </row>
    <row r="8" spans="2:7" x14ac:dyDescent="0.25">
      <c r="B8" s="2">
        <v>10</v>
      </c>
      <c r="C8" s="1" t="s">
        <v>3</v>
      </c>
      <c r="D8" s="25">
        <v>70</v>
      </c>
      <c r="E8" s="22"/>
      <c r="F8" s="1"/>
      <c r="G8" s="3"/>
    </row>
    <row r="9" spans="2:7" x14ac:dyDescent="0.25">
      <c r="B9" s="2">
        <v>12</v>
      </c>
      <c r="C9" s="1" t="s">
        <v>4</v>
      </c>
      <c r="D9" s="25">
        <v>60</v>
      </c>
      <c r="E9" s="22"/>
      <c r="F9" s="1"/>
      <c r="G9" s="3"/>
    </row>
    <row r="10" spans="2:7" x14ac:dyDescent="0.25">
      <c r="B10" s="2">
        <v>4</v>
      </c>
      <c r="C10" s="1" t="s">
        <v>6</v>
      </c>
      <c r="D10" s="25">
        <v>40</v>
      </c>
      <c r="E10" s="22"/>
      <c r="F10" s="1"/>
      <c r="G10" s="3"/>
    </row>
    <row r="11" spans="2:7" x14ac:dyDescent="0.25">
      <c r="B11" s="2">
        <v>2</v>
      </c>
      <c r="C11" s="1" t="s">
        <v>8</v>
      </c>
      <c r="D11" s="25">
        <v>10</v>
      </c>
      <c r="E11" s="22"/>
      <c r="F11" s="1"/>
      <c r="G11" s="3"/>
    </row>
    <row r="12" spans="2:7" x14ac:dyDescent="0.25">
      <c r="B12" s="2">
        <v>1</v>
      </c>
      <c r="C12" s="1" t="s">
        <v>2</v>
      </c>
      <c r="D12" s="25">
        <v>5</v>
      </c>
      <c r="E12" s="22"/>
      <c r="F12" s="1"/>
      <c r="G12" s="3"/>
    </row>
    <row r="13" spans="2:7" x14ac:dyDescent="0.25">
      <c r="B13" s="2">
        <v>1</v>
      </c>
      <c r="C13" s="1" t="s">
        <v>1</v>
      </c>
      <c r="D13" s="25">
        <v>25</v>
      </c>
      <c r="E13" s="22"/>
      <c r="F13" s="1"/>
      <c r="G13" s="3"/>
    </row>
    <row r="14" spans="2:7" x14ac:dyDescent="0.25">
      <c r="B14" s="2">
        <v>1</v>
      </c>
      <c r="C14" s="1" t="s">
        <v>5</v>
      </c>
      <c r="D14" s="25">
        <v>125</v>
      </c>
      <c r="E14" s="22"/>
      <c r="F14" s="1"/>
      <c r="G14" s="3"/>
    </row>
    <row r="15" spans="2:7" x14ac:dyDescent="0.25">
      <c r="B15" s="2">
        <v>1</v>
      </c>
      <c r="C15" s="1" t="s">
        <v>47</v>
      </c>
      <c r="D15" s="3">
        <v>10</v>
      </c>
      <c r="E15" s="22"/>
      <c r="F15" s="1"/>
      <c r="G15" s="3"/>
    </row>
    <row r="16" spans="2:7" ht="15.75" thickBot="1" x14ac:dyDescent="0.3">
      <c r="B16" s="16">
        <f>SUM(B5:B15)</f>
        <v>42</v>
      </c>
      <c r="C16" s="17" t="s">
        <v>16</v>
      </c>
      <c r="D16" s="26" t="s">
        <v>17</v>
      </c>
      <c r="E16" s="23">
        <f>SUM(D5:D6,D8:D11,D15)</f>
        <v>235</v>
      </c>
      <c r="F16" s="18">
        <f>E16+D7+D12</f>
        <v>315</v>
      </c>
      <c r="G16" s="19">
        <f>D13+D14+F16</f>
        <v>465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D740-94D7-408F-BF35-D9F5D3852BF2}">
  <dimension ref="C4:G18"/>
  <sheetViews>
    <sheetView topLeftCell="A5" zoomScale="180" zoomScaleNormal="180" workbookViewId="0">
      <selection activeCell="B12" sqref="B12"/>
    </sheetView>
  </sheetViews>
  <sheetFormatPr baseColWidth="10" defaultRowHeight="15" x14ac:dyDescent="0.25"/>
  <cols>
    <col min="3" max="3" width="14.28515625" bestFit="1" customWidth="1"/>
    <col min="4" max="4" width="17.42578125" bestFit="1" customWidth="1"/>
    <col min="5" max="5" width="17" bestFit="1" customWidth="1"/>
    <col min="6" max="6" width="13" bestFit="1" customWidth="1"/>
    <col min="7" max="7" width="12.28515625" bestFit="1" customWidth="1"/>
  </cols>
  <sheetData>
    <row r="4" spans="3:7" x14ac:dyDescent="0.25">
      <c r="C4" t="s">
        <v>18</v>
      </c>
      <c r="D4" t="s">
        <v>25</v>
      </c>
      <c r="E4" t="s">
        <v>26</v>
      </c>
      <c r="F4" t="s">
        <v>48</v>
      </c>
      <c r="G4" t="s">
        <v>24</v>
      </c>
    </row>
    <row r="5" spans="3:7" x14ac:dyDescent="0.25">
      <c r="C5" t="s">
        <v>7</v>
      </c>
      <c r="D5" s="11">
        <f>AVERAGEIF(Compras_[Productos],Productos[[#This Row],[Productos]],Compras_[Costo Unit])</f>
        <v>1.4575000000000002</v>
      </c>
      <c r="E5" s="11">
        <v>5</v>
      </c>
      <c r="F5" s="12">
        <f>SUMIF(Compras_[Productos],Productos[[#This Row],[Productos]],Compras_[Unidades])-Productos7[[#This Row],[Vendidos]]</f>
        <v>300</v>
      </c>
      <c r="G5" s="11">
        <f>Productos7[[#This Row],[Vendidos]]*Productos[[#This Row],[Precio de venta]]-(SUMIF(Compras_[Productos],Productos[[#This Row],[Productos]],Compras_[Costo]))</f>
        <v>-437.25</v>
      </c>
    </row>
    <row r="6" spans="3:7" x14ac:dyDescent="0.25">
      <c r="C6" t="s">
        <v>10</v>
      </c>
      <c r="D6" s="11">
        <f>AVERAGEIF(Compras_[Productos],Productos[[#This Row],[Productos]],Compras_[Costo Unit])</f>
        <v>2.7092000000000001</v>
      </c>
      <c r="E6" s="11">
        <v>10</v>
      </c>
      <c r="F6" s="12">
        <f>SUMIF(Compras_[Productos],Productos[[#This Row],[Productos]],Compras_[Unidades])-Productos7[[#This Row],[Vendidos]]</f>
        <v>100</v>
      </c>
      <c r="G6" s="11">
        <f>Productos7[[#This Row],[Vendidos]]*Productos[[#This Row],[Precio de venta]]-(SUMIF(Compras_[Productos],Productos[[#This Row],[Productos]],Compras_[Costo]))</f>
        <v>-270.92</v>
      </c>
    </row>
    <row r="7" spans="3:7" x14ac:dyDescent="0.25">
      <c r="C7" t="s">
        <v>9</v>
      </c>
      <c r="D7" s="11">
        <f>AVERAGEIF(Compras_[Productos],Productos[[#This Row],[Productos]],Compras_[Costo Unit])</f>
        <v>12.6165</v>
      </c>
      <c r="E7" s="11">
        <v>25</v>
      </c>
      <c r="F7" s="12">
        <f>SUMIF(Compras_[Productos],Productos[[#This Row],[Productos]],Compras_[Unidades])-Productos7[[#This Row],[Vendidos]]</f>
        <v>40</v>
      </c>
      <c r="G7" s="11">
        <f>Productos7[[#This Row],[Vendidos]]*Productos[[#This Row],[Precio de venta]]-(SUMIF(Compras_[Productos],Productos[[#This Row],[Productos]],Compras_[Costo]))</f>
        <v>-504.66</v>
      </c>
    </row>
    <row r="8" spans="3:7" x14ac:dyDescent="0.25">
      <c r="C8" t="s">
        <v>3</v>
      </c>
      <c r="D8" s="11">
        <f>AVERAGEIF(Compras_[Productos],Productos[[#This Row],[Productos]],Compras_[Costo Unit])</f>
        <v>3.286</v>
      </c>
      <c r="E8" s="11">
        <v>7</v>
      </c>
      <c r="F8" s="12">
        <f>SUMIF(Compras_[Productos],Productos[[#This Row],[Productos]],Compras_[Unidades])-Productos7[[#This Row],[Vendidos]]</f>
        <v>160</v>
      </c>
      <c r="G8" s="11">
        <f>Productos7[[#This Row],[Vendidos]]*Productos[[#This Row],[Precio de venta]]-(SUMIF(Compras_[Productos],Productos[[#This Row],[Productos]],Compras_[Costo]))</f>
        <v>-525.76</v>
      </c>
    </row>
    <row r="9" spans="3:7" x14ac:dyDescent="0.25">
      <c r="C9" t="s">
        <v>4</v>
      </c>
      <c r="D9" s="11">
        <f>AVERAGEIF(Compras_[Productos],Productos[[#This Row],[Productos]],Compras_[Costo Unit])</f>
        <v>1.5157999999999998</v>
      </c>
      <c r="E9" s="11">
        <v>5</v>
      </c>
      <c r="F9" s="12">
        <f>SUMIF(Compras_[Productos],Productos[[#This Row],[Productos]],Compras_[Unidades])-Productos7[[#This Row],[Vendidos]]</f>
        <v>700</v>
      </c>
      <c r="G9" s="11">
        <f>Productos7[[#This Row],[Vendidos]]*Productos[[#This Row],[Precio de venta]]-(SUMIF(Compras_[Productos],Productos[[#This Row],[Productos]],Compras_[Costo]))</f>
        <v>-1061.06</v>
      </c>
    </row>
    <row r="10" spans="3:7" x14ac:dyDescent="0.25">
      <c r="C10" t="s">
        <v>6</v>
      </c>
      <c r="D10" s="11">
        <f>AVERAGEIF(Compras_[Productos],Productos[[#This Row],[Productos]],Compras_[Costo Unit])</f>
        <v>3.4050000000000002</v>
      </c>
      <c r="E10" s="11">
        <v>10</v>
      </c>
      <c r="F10" s="12">
        <f>SUMIF(Compras_[Productos],Productos[[#This Row],[Productos]],Compras_[Unidades])-Productos7[[#This Row],[Vendidos]]</f>
        <v>120</v>
      </c>
      <c r="G10" s="11">
        <f>Productos7[[#This Row],[Vendidos]]*Productos[[#This Row],[Precio de venta]]-(SUMIF(Compras_[Productos],Productos[[#This Row],[Productos]],Compras_[Costo]))</f>
        <v>-408.6</v>
      </c>
    </row>
    <row r="11" spans="3:7" x14ac:dyDescent="0.25">
      <c r="C11" t="s">
        <v>8</v>
      </c>
      <c r="D11" s="11">
        <f>AVERAGEIF(Compras_[Productos],Productos[[#This Row],[Productos]],Compras_[Costo Unit])</f>
        <v>1.5622666666666667</v>
      </c>
      <c r="E11" s="11">
        <v>5</v>
      </c>
      <c r="F11" s="12">
        <f>SUMIF(Compras_[Productos],Productos[[#This Row],[Productos]],Compras_[Unidades])-Productos7[[#This Row],[Vendidos]]</f>
        <v>300</v>
      </c>
      <c r="G11" s="11">
        <f>Productos7[[#This Row],[Vendidos]]*Productos[[#This Row],[Precio de venta]]-(SUMIF(Compras_[Productos],Productos[[#This Row],[Productos]],Compras_[Costo]))</f>
        <v>-468.67999999999995</v>
      </c>
    </row>
    <row r="12" spans="3:7" x14ac:dyDescent="0.25">
      <c r="C12" t="s">
        <v>2</v>
      </c>
      <c r="D12" s="11">
        <f>AVERAGEIF(Compras_[Productos],Productos[[#This Row],[Productos]],Compras_[Costo Unit])</f>
        <v>0</v>
      </c>
      <c r="E12" s="11">
        <v>5</v>
      </c>
      <c r="F12" s="12">
        <f>SUMIF(Compras_[Productos],Productos[[#This Row],[Productos]],Compras_[Unidades])-Productos7[[#This Row],[Vendidos]]</f>
        <v>1</v>
      </c>
      <c r="G12" s="11">
        <f>Productos7[[#This Row],[Vendidos]]*Productos[[#This Row],[Precio de venta]]-(SUMIF(Compras_[Productos],Productos[[#This Row],[Productos]],Compras_[Costo]))</f>
        <v>0</v>
      </c>
    </row>
    <row r="13" spans="3:7" x14ac:dyDescent="0.25">
      <c r="C13" t="s">
        <v>1</v>
      </c>
      <c r="D13" s="11">
        <f>AVERAGEIF(Compras_[Productos],Productos[[#This Row],[Productos]],Compras_[Costo Unit])</f>
        <v>14.666</v>
      </c>
      <c r="E13" s="11">
        <v>25</v>
      </c>
      <c r="F13" s="12">
        <f>SUMIF(Compras_[Productos],Productos[[#This Row],[Productos]],Compras_[Unidades])-Productos7[[#This Row],[Vendidos]]</f>
        <v>30</v>
      </c>
      <c r="G13" s="11">
        <f>Productos7[[#This Row],[Vendidos]]*Productos[[#This Row],[Precio de venta]]-(SUMIF(Compras_[Productos],Productos[[#This Row],[Productos]],Compras_[Costo]))</f>
        <v>-356.28999999999996</v>
      </c>
    </row>
    <row r="14" spans="3:7" x14ac:dyDescent="0.25">
      <c r="C14" t="s">
        <v>5</v>
      </c>
      <c r="D14" s="11">
        <f>AVERAGEIF(Compras_[Productos],Productos[[#This Row],[Productos]],Compras_[Costo Unit])</f>
        <v>82.27</v>
      </c>
      <c r="E14" s="11">
        <v>125</v>
      </c>
      <c r="F14" s="12">
        <f>SUMIF(Compras_[Productos],Productos[[#This Row],[Productos]],Compras_[Unidades])-Productos7[[#This Row],[Vendidos]]</f>
        <v>12</v>
      </c>
      <c r="G14" s="11">
        <f>Productos7[[#This Row],[Vendidos]]*Productos[[#This Row],[Precio de venta]]-(SUMIF(Compras_[Productos],Productos[[#This Row],[Productos]],Compras_[Costo]))</f>
        <v>-1050.24</v>
      </c>
    </row>
    <row r="15" spans="3:7" x14ac:dyDescent="0.25">
      <c r="C15" t="s">
        <v>47</v>
      </c>
      <c r="D15" s="11">
        <f>AVERAGEIF(Compras_[Productos],Productos[[#This Row],[Productos]],Compras_[Costo Unit])</f>
        <v>0.2</v>
      </c>
      <c r="E15" s="11">
        <v>10</v>
      </c>
      <c r="F15" s="12">
        <f>SUMIF(Compras_[Productos],Productos[[#This Row],[Productos]],Compras_[Unidades])-Productos7[[#This Row],[Vendidos]]</f>
        <v>50</v>
      </c>
      <c r="G15" s="11">
        <f>Productos7[[#This Row],[Vendidos]]*Productos[[#This Row],[Precio de venta]]-(SUMIF(Compras_[Productos],Productos[[#This Row],[Productos]],Compras_[Costo]))</f>
        <v>-10</v>
      </c>
    </row>
    <row r="18" spans="6:7" x14ac:dyDescent="0.25">
      <c r="F18" t="s">
        <v>33</v>
      </c>
      <c r="G18" s="11">
        <f>SUM(G5:G17)-(SUM(Materiales[Precio]))</f>
        <v>-7331.63</v>
      </c>
    </row>
  </sheetData>
  <conditionalFormatting sqref="G5">
    <cfRule type="cellIs" dxfId="4" priority="5" operator="equal">
      <formula>" "</formula>
    </cfRule>
  </conditionalFormatting>
  <conditionalFormatting sqref="G5:G1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1519-648A-445C-A5B2-8D5BB557AC29}">
  <dimension ref="B5:Q28"/>
  <sheetViews>
    <sheetView topLeftCell="A5" workbookViewId="0">
      <selection activeCell="E27" sqref="E27"/>
    </sheetView>
  </sheetViews>
  <sheetFormatPr baseColWidth="10" defaultRowHeight="15" x14ac:dyDescent="0.25"/>
  <cols>
    <col min="2" max="2" width="14.28515625" bestFit="1" customWidth="1"/>
    <col min="3" max="3" width="6.85546875" bestFit="1" customWidth="1"/>
    <col min="4" max="4" width="10.28515625" bestFit="1" customWidth="1"/>
    <col min="5" max="5" width="11.7109375" bestFit="1" customWidth="1"/>
    <col min="6" max="6" width="12.5703125" bestFit="1" customWidth="1"/>
    <col min="7" max="7" width="11" bestFit="1" customWidth="1"/>
    <col min="8" max="8" width="7.7109375" customWidth="1"/>
    <col min="9" max="9" width="11.85546875" style="13" bestFit="1" customWidth="1"/>
    <col min="10" max="10" width="7.7109375" customWidth="1"/>
    <col min="11" max="11" width="11" bestFit="1" customWidth="1"/>
    <col min="12" max="12" width="6.85546875" bestFit="1" customWidth="1"/>
    <col min="13" max="13" width="11.140625" bestFit="1" customWidth="1"/>
    <col min="14" max="14" width="10.28515625" bestFit="1" customWidth="1"/>
    <col min="16" max="16" width="14.140625" bestFit="1" customWidth="1"/>
  </cols>
  <sheetData>
    <row r="5" spans="2:17" x14ac:dyDescent="0.25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43</v>
      </c>
      <c r="K5" t="s">
        <v>29</v>
      </c>
      <c r="L5" t="s">
        <v>19</v>
      </c>
      <c r="M5" t="s">
        <v>35</v>
      </c>
      <c r="N5" t="s">
        <v>30</v>
      </c>
      <c r="P5" t="s">
        <v>38</v>
      </c>
      <c r="Q5">
        <f>SUM(Materiales[Precio],Compras_[Costo])</f>
        <v>7331.630000000001</v>
      </c>
    </row>
    <row r="6" spans="2:17" x14ac:dyDescent="0.25">
      <c r="B6" t="s">
        <v>10</v>
      </c>
      <c r="C6" s="10" t="s">
        <v>19</v>
      </c>
      <c r="D6" s="11">
        <v>135.46</v>
      </c>
      <c r="E6">
        <v>50</v>
      </c>
      <c r="F6" s="11">
        <f>IF(Compras_[[#This Row],[Unidades]]&gt;0,Compras_[[#This Row],[Costo]]/Compras_[[#This Row],[Unidades]],Compras_[[#This Row],[Costo]])</f>
        <v>2.7092000000000001</v>
      </c>
      <c r="G6" s="11"/>
      <c r="H6" s="11"/>
      <c r="I6" s="14" t="b">
        <v>1</v>
      </c>
      <c r="K6" t="s">
        <v>31</v>
      </c>
      <c r="L6" s="10" t="s">
        <v>19</v>
      </c>
      <c r="M6">
        <v>1</v>
      </c>
      <c r="N6" s="11">
        <v>1200</v>
      </c>
    </row>
    <row r="7" spans="2:17" x14ac:dyDescent="0.25">
      <c r="B7" t="s">
        <v>8</v>
      </c>
      <c r="C7" s="10" t="s">
        <v>19</v>
      </c>
      <c r="D7" s="11">
        <v>135.1</v>
      </c>
      <c r="E7">
        <v>100</v>
      </c>
      <c r="F7" s="11">
        <f>IF(Compras_[[#This Row],[Unidades]]&gt;0,Compras_[[#This Row],[Costo]]/Compras_[[#This Row],[Unidades]],Compras_[[#This Row],[Costo]])</f>
        <v>1.351</v>
      </c>
      <c r="G7" s="11"/>
      <c r="H7" s="11"/>
      <c r="I7" s="14" t="b">
        <v>1</v>
      </c>
      <c r="K7" t="s">
        <v>32</v>
      </c>
      <c r="L7" t="s">
        <v>19</v>
      </c>
      <c r="M7">
        <v>1</v>
      </c>
      <c r="N7" s="11">
        <v>470</v>
      </c>
    </row>
    <row r="8" spans="2:17" x14ac:dyDescent="0.25">
      <c r="B8" t="s">
        <v>7</v>
      </c>
      <c r="C8" s="10" t="s">
        <v>19</v>
      </c>
      <c r="D8" s="11">
        <v>145.75</v>
      </c>
      <c r="E8">
        <v>100</v>
      </c>
      <c r="F8" s="11">
        <f>IF(Compras_[[#This Row],[Unidades]]&gt;0,Compras_[[#This Row],[Costo]]/Compras_[[#This Row],[Unidades]],Compras_[[#This Row],[Costo]])</f>
        <v>1.4575</v>
      </c>
      <c r="G8" s="11"/>
      <c r="H8" s="11"/>
      <c r="I8" s="14" t="b">
        <v>0</v>
      </c>
      <c r="K8" t="s">
        <v>34</v>
      </c>
      <c r="L8" s="10" t="s">
        <v>19</v>
      </c>
      <c r="M8">
        <v>5</v>
      </c>
      <c r="N8" s="11">
        <v>93.09</v>
      </c>
    </row>
    <row r="9" spans="2:17" x14ac:dyDescent="0.25">
      <c r="B9" t="s">
        <v>5</v>
      </c>
      <c r="C9" s="10" t="s">
        <v>19</v>
      </c>
      <c r="D9" s="11">
        <v>619.62</v>
      </c>
      <c r="E9">
        <v>6</v>
      </c>
      <c r="F9" s="11">
        <f>IF(Compras_[[#This Row],[Unidades]]&gt;0,Compras_[[#This Row],[Costo]]/Compras_[[#This Row],[Unidades]],Compras_[[#This Row],[Costo]])</f>
        <v>103.27</v>
      </c>
      <c r="G9" s="11"/>
      <c r="H9" s="11"/>
      <c r="I9" s="14" t="b">
        <v>1</v>
      </c>
      <c r="K9" t="s">
        <v>36</v>
      </c>
      <c r="L9" s="10" t="s">
        <v>19</v>
      </c>
      <c r="M9">
        <v>5</v>
      </c>
      <c r="N9" s="11">
        <v>221.92</v>
      </c>
    </row>
    <row r="10" spans="2:17" x14ac:dyDescent="0.25">
      <c r="B10" t="s">
        <v>6</v>
      </c>
      <c r="C10" s="10" t="s">
        <v>19</v>
      </c>
      <c r="D10" s="11">
        <v>408.6</v>
      </c>
      <c r="E10">
        <v>120</v>
      </c>
      <c r="F10" s="11">
        <f>IF(Compras_[[#This Row],[Unidades]]&gt;0,Compras_[[#This Row],[Costo]]/Compras_[[#This Row],[Unidades]],Compras_[[#This Row],[Costo]])</f>
        <v>3.4050000000000002</v>
      </c>
      <c r="G10" s="11"/>
      <c r="H10" s="11"/>
      <c r="I10" s="14" t="b">
        <v>1</v>
      </c>
      <c r="K10" t="s">
        <v>5</v>
      </c>
      <c r="L10" s="10" t="s">
        <v>19</v>
      </c>
      <c r="M10">
        <v>1</v>
      </c>
      <c r="N10" s="11">
        <v>149.31</v>
      </c>
    </row>
    <row r="11" spans="2:17" x14ac:dyDescent="0.25">
      <c r="B11" t="s">
        <v>4</v>
      </c>
      <c r="C11" s="10" t="s">
        <v>19</v>
      </c>
      <c r="D11" s="11">
        <v>1061.06</v>
      </c>
      <c r="E11">
        <v>700</v>
      </c>
      <c r="F11" s="11">
        <f>IF(Compras_[[#This Row],[Unidades]]&gt;0,Compras_[[#This Row],[Costo]]/Compras_[[#This Row],[Unidades]],Compras_[[#This Row],[Costo]])</f>
        <v>1.5157999999999998</v>
      </c>
      <c r="G11" s="11"/>
      <c r="H11" s="11"/>
      <c r="I11" s="14" t="b">
        <v>0</v>
      </c>
      <c r="K11" t="s">
        <v>37</v>
      </c>
      <c r="L11" s="10" t="s">
        <v>19</v>
      </c>
      <c r="M11">
        <v>1</v>
      </c>
      <c r="N11" s="11">
        <v>103.85</v>
      </c>
    </row>
    <row r="12" spans="2:17" x14ac:dyDescent="0.25">
      <c r="B12" t="s">
        <v>3</v>
      </c>
      <c r="C12" s="10" t="s">
        <v>19</v>
      </c>
      <c r="D12" s="11">
        <v>262.88</v>
      </c>
      <c r="E12">
        <v>80</v>
      </c>
      <c r="F12" s="11">
        <f>IF(Compras_[[#This Row],[Unidades]]&gt;0,Compras_[[#This Row],[Costo]]/Compras_[[#This Row],[Unidades]],Compras_[[#This Row],[Costo]])</f>
        <v>3.286</v>
      </c>
      <c r="G12" s="11"/>
      <c r="H12" s="11"/>
      <c r="I12" s="14" t="b">
        <v>0</v>
      </c>
    </row>
    <row r="13" spans="2:17" x14ac:dyDescent="0.25">
      <c r="B13" t="s">
        <v>9</v>
      </c>
      <c r="C13" s="10" t="s">
        <v>19</v>
      </c>
      <c r="D13" s="11">
        <v>252.33</v>
      </c>
      <c r="E13">
        <v>20</v>
      </c>
      <c r="F13" s="11">
        <f>IF(Compras_[[#This Row],[Unidades]]&gt;0,Compras_[[#This Row],[Costo]]/Compras_[[#This Row],[Unidades]],Compras_[[#This Row],[Costo]])</f>
        <v>12.6165</v>
      </c>
      <c r="G13" s="11"/>
      <c r="H13" s="11"/>
      <c r="I13" s="14" t="b">
        <v>1</v>
      </c>
    </row>
    <row r="14" spans="2:17" x14ac:dyDescent="0.25">
      <c r="B14" t="s">
        <v>9</v>
      </c>
      <c r="C14" s="10" t="s">
        <v>19</v>
      </c>
      <c r="D14" s="11">
        <v>252.33</v>
      </c>
      <c r="E14">
        <v>20</v>
      </c>
      <c r="F14" s="11">
        <f>IF(Compras_[[#This Row],[Unidades]]&gt;0,Compras_[[#This Row],[Costo]]/Compras_[[#This Row],[Unidades]],Compras_[[#This Row],[Costo]])</f>
        <v>12.6165</v>
      </c>
      <c r="G14" s="11"/>
      <c r="H14" s="11"/>
      <c r="I14" s="14" t="b">
        <v>1</v>
      </c>
    </row>
    <row r="15" spans="2:17" x14ac:dyDescent="0.25">
      <c r="B15" t="s">
        <v>1</v>
      </c>
      <c r="C15" s="10" t="s">
        <v>19</v>
      </c>
      <c r="D15" s="11">
        <v>230.35</v>
      </c>
      <c r="E15">
        <v>10</v>
      </c>
      <c r="F15" s="11">
        <f>IF(Compras_[[#This Row],[Unidades]]&gt;0,Compras_[[#This Row],[Costo]]/Compras_[[#This Row],[Unidades]],Compras_[[#This Row],[Costo]])</f>
        <v>23.035</v>
      </c>
      <c r="G15" s="11"/>
      <c r="H15" s="11"/>
      <c r="I15" s="14" t="b">
        <v>1</v>
      </c>
    </row>
    <row r="16" spans="2:17" x14ac:dyDescent="0.25">
      <c r="B16" t="s">
        <v>1</v>
      </c>
      <c r="C16" s="10" t="s">
        <v>19</v>
      </c>
      <c r="D16" s="11">
        <v>125.94</v>
      </c>
      <c r="E16">
        <v>20</v>
      </c>
      <c r="F16" s="11">
        <f>IF(Compras_[[#This Row],[Unidades]]&gt;0,Compras_[[#This Row],[Costo]]/Compras_[[#This Row],[Unidades]],Compras_[[#This Row],[Costo]])</f>
        <v>6.2969999999999997</v>
      </c>
      <c r="G16" s="11"/>
      <c r="H16" s="11"/>
      <c r="I16" s="14" t="b">
        <v>1</v>
      </c>
    </row>
    <row r="17" spans="2:9" x14ac:dyDescent="0.25">
      <c r="B17" t="s">
        <v>10</v>
      </c>
      <c r="C17" s="10" t="s">
        <v>19</v>
      </c>
      <c r="D17" s="11">
        <v>135.46</v>
      </c>
      <c r="E17">
        <v>50</v>
      </c>
      <c r="F17" s="11">
        <f>IF(Compras_[[#This Row],[Unidades]]&gt;0,Compras_[[#This Row],[Costo]]/Compras_[[#This Row],[Unidades]],Compras_[[#This Row],[Costo]])</f>
        <v>2.7092000000000001</v>
      </c>
      <c r="G17" s="11"/>
      <c r="H17" s="11"/>
      <c r="I17" s="14" t="b">
        <v>0</v>
      </c>
    </row>
    <row r="18" spans="2:9" x14ac:dyDescent="0.25">
      <c r="B18" t="s">
        <v>3</v>
      </c>
      <c r="C18" s="10" t="s">
        <v>19</v>
      </c>
      <c r="D18" s="11">
        <v>262.88</v>
      </c>
      <c r="E18">
        <v>80</v>
      </c>
      <c r="F18" s="11">
        <f>IF(Compras_[[#This Row],[Unidades]]&gt;0,Compras_[[#This Row],[Costo]]/Compras_[[#This Row],[Unidades]],Compras_[[#This Row],[Costo]])</f>
        <v>3.286</v>
      </c>
      <c r="G18" s="11"/>
      <c r="H18" s="11"/>
      <c r="I18" s="14" t="b">
        <v>0</v>
      </c>
    </row>
    <row r="19" spans="2:9" x14ac:dyDescent="0.25">
      <c r="B19" t="s">
        <v>7</v>
      </c>
      <c r="C19" s="10" t="s">
        <v>19</v>
      </c>
      <c r="D19" s="11">
        <v>145.75</v>
      </c>
      <c r="E19">
        <v>100</v>
      </c>
      <c r="F19" s="11">
        <f>IF(Compras_[[#This Row],[Unidades]]&gt;0,Compras_[[#This Row],[Costo]]/Compras_[[#This Row],[Unidades]],Compras_[[#This Row],[Costo]])</f>
        <v>1.4575</v>
      </c>
      <c r="G19" s="11"/>
      <c r="H19" s="11"/>
      <c r="I19" s="14" t="b">
        <v>0</v>
      </c>
    </row>
    <row r="20" spans="2:9" x14ac:dyDescent="0.25">
      <c r="B20" t="s">
        <v>7</v>
      </c>
      <c r="C20" s="10" t="s">
        <v>19</v>
      </c>
      <c r="D20" s="11">
        <v>145.75</v>
      </c>
      <c r="E20">
        <v>100</v>
      </c>
      <c r="F20" s="11">
        <f>IF(Compras_[[#This Row],[Unidades]]&gt;0,Compras_[[#This Row],[Costo]]/Compras_[[#This Row],[Unidades]],Compras_[[#This Row],[Costo]])</f>
        <v>1.4575</v>
      </c>
      <c r="G20" s="11"/>
      <c r="H20" s="11"/>
      <c r="I20" s="14" t="b">
        <v>0</v>
      </c>
    </row>
    <row r="21" spans="2:9" x14ac:dyDescent="0.25">
      <c r="B21" t="s">
        <v>8</v>
      </c>
      <c r="C21" s="10" t="s">
        <v>19</v>
      </c>
      <c r="D21" s="11">
        <v>135.1</v>
      </c>
      <c r="E21">
        <v>100</v>
      </c>
      <c r="F21" s="11">
        <f>IF(Compras_[[#This Row],[Unidades]]&gt;0,Compras_[[#This Row],[Costo]]/Compras_[[#This Row],[Unidades]],Compras_[[#This Row],[Costo]])</f>
        <v>1.351</v>
      </c>
      <c r="G21" s="11"/>
      <c r="H21" s="11"/>
      <c r="I21" s="14" t="b">
        <v>0</v>
      </c>
    </row>
    <row r="22" spans="2:9" x14ac:dyDescent="0.25">
      <c r="B22" t="s">
        <v>8</v>
      </c>
      <c r="C22" s="10" t="s">
        <v>19</v>
      </c>
      <c r="D22" s="11">
        <v>198.48</v>
      </c>
      <c r="E22">
        <v>100</v>
      </c>
      <c r="F22" s="11">
        <f>IF(Compras_[[#This Row],[Unidades]]&gt;0,Compras_[[#This Row],[Costo]]/Compras_[[#This Row],[Unidades]],Compras_[[#This Row],[Costo]])</f>
        <v>1.9847999999999999</v>
      </c>
      <c r="G22" s="11"/>
      <c r="H22" s="11"/>
      <c r="I22" s="14" t="b">
        <v>0</v>
      </c>
    </row>
    <row r="23" spans="2:9" x14ac:dyDescent="0.25">
      <c r="B23" t="s">
        <v>2</v>
      </c>
      <c r="C23" s="10" t="s">
        <v>19</v>
      </c>
      <c r="D23" s="11"/>
      <c r="E23">
        <v>1</v>
      </c>
      <c r="F23" s="11">
        <f>IF(Compras_[[#This Row],[Unidades]]&gt;0,Compras_[[#This Row],[Costo]]/Compras_[[#This Row],[Unidades]],Compras_[[#This Row],[Costo]])</f>
        <v>0</v>
      </c>
      <c r="G23" s="11"/>
      <c r="H23" s="11"/>
      <c r="I23" s="14" t="b">
        <v>1</v>
      </c>
    </row>
    <row r="24" spans="2:9" x14ac:dyDescent="0.25">
      <c r="B24" t="s">
        <v>5</v>
      </c>
      <c r="C24" s="10" t="s">
        <v>19</v>
      </c>
      <c r="D24" s="11">
        <v>215.31</v>
      </c>
      <c r="E24">
        <v>3</v>
      </c>
      <c r="F24" s="11">
        <f>IF(Compras_[[#This Row],[Unidades]]&gt;0,Compras_[[#This Row],[Costo]]/Compras_[[#This Row],[Unidades]],Compras_[[#This Row],[Costo]])</f>
        <v>71.77</v>
      </c>
      <c r="G24" s="11"/>
      <c r="H24" s="11"/>
      <c r="I24" s="14" t="b">
        <v>0</v>
      </c>
    </row>
    <row r="25" spans="2:9" x14ac:dyDescent="0.25">
      <c r="B25" t="s">
        <v>5</v>
      </c>
      <c r="C25" s="10" t="s">
        <v>19</v>
      </c>
      <c r="D25" s="11">
        <v>215.31</v>
      </c>
      <c r="E25">
        <v>3</v>
      </c>
      <c r="F25" s="11">
        <f>IF(Compras_[[#This Row],[Unidades]]&gt;0,Compras_[[#This Row],[Costo]]/Compras_[[#This Row],[Unidades]],Compras_[[#This Row],[Costo]])</f>
        <v>71.77</v>
      </c>
      <c r="G25" s="11"/>
      <c r="H25" s="11"/>
      <c r="I25" s="14" t="b">
        <v>0</v>
      </c>
    </row>
    <row r="26" spans="2:9" x14ac:dyDescent="0.25">
      <c r="B26" t="s">
        <v>47</v>
      </c>
      <c r="C26" s="10"/>
      <c r="D26" s="11">
        <v>10</v>
      </c>
      <c r="E26">
        <v>50</v>
      </c>
      <c r="F26" s="11">
        <f>IF(Compras_[[#This Row],[Unidades]]&gt;0,Compras_[[#This Row],[Costo]]/Compras_[[#This Row],[Unidades]],Compras_[[#This Row],[Costo]])</f>
        <v>0.2</v>
      </c>
      <c r="G26" s="11"/>
      <c r="I26" s="13" t="b">
        <v>0</v>
      </c>
    </row>
    <row r="27" spans="2:9" x14ac:dyDescent="0.25">
      <c r="I27" s="13" t="b">
        <v>0</v>
      </c>
    </row>
    <row r="28" spans="2:9" x14ac:dyDescent="0.25">
      <c r="I28" s="13" t="b">
        <v>0</v>
      </c>
    </row>
  </sheetData>
  <hyperlinks>
    <hyperlink ref="C6" r:id="rId1" xr:uid="{BCB2950B-3A85-45FB-B06B-4EEA9BFA6EF9}"/>
    <hyperlink ref="C7" r:id="rId2" xr:uid="{0887E6D8-1AD4-4789-9296-9DB6AFE03198}"/>
    <hyperlink ref="C8" r:id="rId3" xr:uid="{E083EC8E-E82E-4C14-8AA0-B42EE8F758F3}"/>
    <hyperlink ref="C9" r:id="rId4" xr:uid="{6D6773AD-6DC0-45C2-BE83-367CADD97AA3}"/>
    <hyperlink ref="C11" r:id="rId5" xr:uid="{E89402B2-973B-40F8-A571-376344FD3641}"/>
    <hyperlink ref="C12" r:id="rId6" xr:uid="{FAABEDCD-B180-4507-9255-23F6F739E782}"/>
    <hyperlink ref="C15" r:id="rId7" xr:uid="{8FF756AC-4BE1-4DA7-9C58-FFF3531CA042}"/>
    <hyperlink ref="C16" r:id="rId8" xr:uid="{0184AE08-6143-4CBF-B30E-F683E27DEDE9}"/>
    <hyperlink ref="C17" r:id="rId9" xr:uid="{B69DB19E-A601-4842-93EE-E0BCDA9B6C0A}"/>
    <hyperlink ref="C18" r:id="rId10" xr:uid="{CDD8D314-5E52-41D6-939D-D3590CD5882A}"/>
    <hyperlink ref="C19" r:id="rId11" xr:uid="{947896B8-8D00-4510-B6FA-8FF55BBA3747}"/>
    <hyperlink ref="C20" r:id="rId12" xr:uid="{4838A4C9-B366-41FF-8439-B222ED51028D}"/>
    <hyperlink ref="C21" r:id="rId13" xr:uid="{81B99901-4514-490E-93D4-B8731D9B636B}"/>
    <hyperlink ref="C22" r:id="rId14" xr:uid="{0A3036E4-5593-45C3-B977-592693B8A8C9}"/>
    <hyperlink ref="C23" r:id="rId15" xr:uid="{7E5E7AF7-4576-4A32-9FDD-FAE00B5EA8C8}"/>
    <hyperlink ref="C24" r:id="rId16" xr:uid="{1F87F836-9B67-4BC8-BAD7-5F5C00445B35}"/>
    <hyperlink ref="C25" r:id="rId17" xr:uid="{8B7AD76E-FBF5-4E10-A601-0AF180C7F442}"/>
    <hyperlink ref="L8" r:id="rId18" xr:uid="{98D66894-5358-46C5-BE2C-DE28E6109517}"/>
    <hyperlink ref="L9" r:id="rId19" xr:uid="{CB98F84E-C6FB-450E-9B93-6C27C22C8FDC}"/>
    <hyperlink ref="L10" r:id="rId20" xr:uid="{A1D50947-114A-4831-87F9-26A381B46C3C}"/>
    <hyperlink ref="L11" r:id="rId21" xr:uid="{932D6636-7643-4125-A01E-E16019E5D749}"/>
    <hyperlink ref="L6" r:id="rId22" xr:uid="{8BFE10B2-F331-49A9-8D6C-991E16D03891}"/>
  </hyperlinks>
  <pageMargins left="0.7" right="0.7" top="0.75" bottom="0.75" header="0.3" footer="0.3"/>
  <drawing r:id="rId23"/>
  <legacyDrawing r:id="rId2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55" r:id="rId25" name="Check Box 35">
              <controlPr defaultSize="0" autoFill="0" autoLine="0" autoPict="0">
                <anchor moveWithCells="1">
                  <from>
                    <xdr:col>6</xdr:col>
                    <xdr:colOff>333375</xdr:colOff>
                    <xdr:row>25</xdr:row>
                    <xdr:rowOff>0</xdr:rowOff>
                  </from>
                  <to>
                    <xdr:col>6</xdr:col>
                    <xdr:colOff>561975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26" name="Check Box 36">
              <controlPr defaultSize="0" autoFill="0" autoLine="0" autoPict="0">
                <anchor moveWithCells="1">
                  <from>
                    <xdr:col>6</xdr:col>
                    <xdr:colOff>333375</xdr:colOff>
                    <xdr:row>25</xdr:row>
                    <xdr:rowOff>19050</xdr:rowOff>
                  </from>
                  <to>
                    <xdr:col>6</xdr:col>
                    <xdr:colOff>561975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27" name="Check Box 37">
              <controlPr defaultSize="0" autoFill="0" autoLine="0" autoPict="0">
                <anchor moveWithCells="1">
                  <from>
                    <xdr:col>6</xdr:col>
                    <xdr:colOff>342900</xdr:colOff>
                    <xdr:row>26</xdr:row>
                    <xdr:rowOff>9525</xdr:rowOff>
                  </from>
                  <to>
                    <xdr:col>6</xdr:col>
                    <xdr:colOff>571500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28" name="Check Box 38">
              <controlPr defaultSize="0" autoFill="0" autoLine="0" autoPict="0">
                <anchor moveWithCells="1">
                  <from>
                    <xdr:col>6</xdr:col>
                    <xdr:colOff>342900</xdr:colOff>
                    <xdr:row>27</xdr:row>
                    <xdr:rowOff>9525</xdr:rowOff>
                  </from>
                  <to>
                    <xdr:col>6</xdr:col>
                    <xdr:colOff>571500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29" name="Check Box 15">
              <controlPr defaultSize="0" autoFill="0" autoLine="0" autoPict="0">
                <anchor moveWithCells="1">
                  <from>
                    <xdr:col>6</xdr:col>
                    <xdr:colOff>257175</xdr:colOff>
                    <xdr:row>6</xdr:row>
                    <xdr:rowOff>9525</xdr:rowOff>
                  </from>
                  <to>
                    <xdr:col>6</xdr:col>
                    <xdr:colOff>485775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30" name="Check Box 16">
              <controlPr defaultSize="0" autoFill="0" autoLine="0" autoPict="0">
                <anchor moveWithCells="1">
                  <from>
                    <xdr:col>6</xdr:col>
                    <xdr:colOff>257175</xdr:colOff>
                    <xdr:row>5</xdr:row>
                    <xdr:rowOff>9525</xdr:rowOff>
                  </from>
                  <to>
                    <xdr:col>6</xdr:col>
                    <xdr:colOff>485775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31" name="Check Box 17">
              <controlPr defaultSize="0" autoFill="0" autoLine="0" autoPict="0">
                <anchor moveWithCells="1">
                  <from>
                    <xdr:col>6</xdr:col>
                    <xdr:colOff>266700</xdr:colOff>
                    <xdr:row>7</xdr:row>
                    <xdr:rowOff>19050</xdr:rowOff>
                  </from>
                  <to>
                    <xdr:col>6</xdr:col>
                    <xdr:colOff>495300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32" name="Check Box 18">
              <controlPr defaultSize="0" autoFill="0" autoLine="0" autoPict="0">
                <anchor moveWithCells="1">
                  <from>
                    <xdr:col>6</xdr:col>
                    <xdr:colOff>266700</xdr:colOff>
                    <xdr:row>8</xdr:row>
                    <xdr:rowOff>0</xdr:rowOff>
                  </from>
                  <to>
                    <xdr:col>6</xdr:col>
                    <xdr:colOff>495300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33" name="Check Box 19">
              <controlPr defaultSize="0" autoFill="0" autoLine="0" autoPict="0">
                <anchor moveWithCells="1">
                  <from>
                    <xdr:col>6</xdr:col>
                    <xdr:colOff>266700</xdr:colOff>
                    <xdr:row>9</xdr:row>
                    <xdr:rowOff>0</xdr:rowOff>
                  </from>
                  <to>
                    <xdr:col>6</xdr:col>
                    <xdr:colOff>495300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34" name="Check Box 20">
              <controlPr defaultSize="0" autoFill="0" autoLine="0" autoPict="0">
                <anchor moveWithCells="1">
                  <from>
                    <xdr:col>6</xdr:col>
                    <xdr:colOff>266700</xdr:colOff>
                    <xdr:row>10</xdr:row>
                    <xdr:rowOff>9525</xdr:rowOff>
                  </from>
                  <to>
                    <xdr:col>6</xdr:col>
                    <xdr:colOff>495300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35" name="Check Box 21">
              <controlPr defaultSize="0" autoFill="0" autoLine="0" autoPict="0">
                <anchor moveWithCells="1">
                  <from>
                    <xdr:col>6</xdr:col>
                    <xdr:colOff>276225</xdr:colOff>
                    <xdr:row>11</xdr:row>
                    <xdr:rowOff>0</xdr:rowOff>
                  </from>
                  <to>
                    <xdr:col>6</xdr:col>
                    <xdr:colOff>504825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36" name="Check Box 22">
              <controlPr defaultSize="0" autoFill="0" autoLine="0" autoPict="0">
                <anchor moveWithCells="1">
                  <from>
                    <xdr:col>6</xdr:col>
                    <xdr:colOff>276225</xdr:colOff>
                    <xdr:row>12</xdr:row>
                    <xdr:rowOff>0</xdr:rowOff>
                  </from>
                  <to>
                    <xdr:col>6</xdr:col>
                    <xdr:colOff>504825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37" name="Check Box 23">
              <controlPr defaultSize="0" autoFill="0" autoLine="0" autoPict="0">
                <anchor moveWithCells="1">
                  <from>
                    <xdr:col>6</xdr:col>
                    <xdr:colOff>295275</xdr:colOff>
                    <xdr:row>14</xdr:row>
                    <xdr:rowOff>9525</xdr:rowOff>
                  </from>
                  <to>
                    <xdr:col>6</xdr:col>
                    <xdr:colOff>523875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38" name="Check Box 24">
              <controlPr defaultSize="0" autoFill="0" autoLine="0" autoPict="0">
                <anchor moveWithCells="1">
                  <from>
                    <xdr:col>6</xdr:col>
                    <xdr:colOff>295275</xdr:colOff>
                    <xdr:row>13</xdr:row>
                    <xdr:rowOff>9525</xdr:rowOff>
                  </from>
                  <to>
                    <xdr:col>6</xdr:col>
                    <xdr:colOff>523875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39" name="Check Box 25">
              <controlPr defaultSize="0" autoFill="0" autoLine="0" autoPict="0">
                <anchor moveWithCells="1">
                  <from>
                    <xdr:col>6</xdr:col>
                    <xdr:colOff>304800</xdr:colOff>
                    <xdr:row>15</xdr:row>
                    <xdr:rowOff>19050</xdr:rowOff>
                  </from>
                  <to>
                    <xdr:col>6</xdr:col>
                    <xdr:colOff>533400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40" name="Check Box 26">
              <controlPr defaultSize="0" autoFill="0" autoLine="0" autoPict="0">
                <anchor moveWithCells="1">
                  <from>
                    <xdr:col>6</xdr:col>
                    <xdr:colOff>304800</xdr:colOff>
                    <xdr:row>16</xdr:row>
                    <xdr:rowOff>0</xdr:rowOff>
                  </from>
                  <to>
                    <xdr:col>6</xdr:col>
                    <xdr:colOff>533400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41" name="Check Box 27">
              <controlPr defaultSize="0" autoFill="0" autoLine="0" autoPict="0">
                <anchor moveWithCells="1">
                  <from>
                    <xdr:col>6</xdr:col>
                    <xdr:colOff>304800</xdr:colOff>
                    <xdr:row>17</xdr:row>
                    <xdr:rowOff>0</xdr:rowOff>
                  </from>
                  <to>
                    <xdr:col>6</xdr:col>
                    <xdr:colOff>533400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42" name="Check Box 28">
              <controlPr defaultSize="0" autoFill="0" autoLine="0" autoPict="0">
                <anchor moveWithCells="1">
                  <from>
                    <xdr:col>6</xdr:col>
                    <xdr:colOff>304800</xdr:colOff>
                    <xdr:row>18</xdr:row>
                    <xdr:rowOff>9525</xdr:rowOff>
                  </from>
                  <to>
                    <xdr:col>6</xdr:col>
                    <xdr:colOff>533400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43" name="Check Box 29">
              <controlPr defaultSize="0" autoFill="0" autoLine="0" autoPict="0">
                <anchor moveWithCells="1">
                  <from>
                    <xdr:col>6</xdr:col>
                    <xdr:colOff>314325</xdr:colOff>
                    <xdr:row>19</xdr:row>
                    <xdr:rowOff>0</xdr:rowOff>
                  </from>
                  <to>
                    <xdr:col>6</xdr:col>
                    <xdr:colOff>542925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44" name="Check Box 30">
              <controlPr defaultSize="0" autoFill="0" autoLine="0" autoPict="0">
                <anchor moveWithCells="1">
                  <from>
                    <xdr:col>6</xdr:col>
                    <xdr:colOff>314325</xdr:colOff>
                    <xdr:row>20</xdr:row>
                    <xdr:rowOff>0</xdr:rowOff>
                  </from>
                  <to>
                    <xdr:col>6</xdr:col>
                    <xdr:colOff>542925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45" name="Check Box 31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19050</xdr:rowOff>
                  </from>
                  <to>
                    <xdr:col>6</xdr:col>
                    <xdr:colOff>552450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46" name="Check Box 32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19050</xdr:rowOff>
                  </from>
                  <to>
                    <xdr:col>6</xdr:col>
                    <xdr:colOff>552450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47" name="Check Box 33">
              <controlPr defaultSize="0" autoFill="0" autoLine="0" autoPict="0">
                <anchor moveWithCells="1">
                  <from>
                    <xdr:col>6</xdr:col>
                    <xdr:colOff>333375</xdr:colOff>
                    <xdr:row>23</xdr:row>
                    <xdr:rowOff>28575</xdr:rowOff>
                  </from>
                  <to>
                    <xdr:col>6</xdr:col>
                    <xdr:colOff>561975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48" name="Check Box 34">
              <controlPr defaultSize="0" autoFill="0" autoLine="0" autoPict="0">
                <anchor moveWithCells="1">
                  <from>
                    <xdr:col>6</xdr:col>
                    <xdr:colOff>333375</xdr:colOff>
                    <xdr:row>24</xdr:row>
                    <xdr:rowOff>9525</xdr:rowOff>
                  </from>
                  <to>
                    <xdr:col>6</xdr:col>
                    <xdr:colOff>561975</xdr:colOff>
                    <xdr:row>25</xdr:row>
                    <xdr:rowOff>9525</xdr:rowOff>
                  </to>
                </anchor>
              </controlPr>
            </control>
          </mc:Choice>
        </mc:AlternateContent>
      </controls>
    </mc:Choice>
  </mc:AlternateContent>
  <tableParts count="2">
    <tablePart r:id="rId49"/>
    <tablePart r:id="rId50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31A6CD-B868-4241-A748-7ABE39A9FEBB}">
          <x14:formula1>
            <xm:f>Productos!$C$5:$C$38</xm:f>
          </x14:formula1>
          <xm:sqref>B6:B26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4145-2D6A-4AE4-842B-1D0C5F8D6D4E}">
  <dimension ref="C6:D6"/>
  <sheetViews>
    <sheetView workbookViewId="0">
      <selection activeCell="C6" sqref="C6:D7"/>
    </sheetView>
  </sheetViews>
  <sheetFormatPr baseColWidth="10" defaultRowHeight="15" x14ac:dyDescent="0.25"/>
  <cols>
    <col min="4" max="4" width="20.28515625" customWidth="1"/>
  </cols>
  <sheetData>
    <row r="6" spans="3:4" x14ac:dyDescent="0.25">
      <c r="C6" t="s">
        <v>27</v>
      </c>
      <c r="D6" t="s">
        <v>28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49237D-276F-4F32-A3C0-06E5DE57C5C2}">
          <x14:formula1>
            <xm:f>Productos!$C$5:$C$38</xm:f>
          </x14:formula1>
          <xm:sqref>C7:C22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705B-7548-4E1C-A8B8-B9E6BC9CA26E}">
  <dimension ref="C6:F6"/>
  <sheetViews>
    <sheetView workbookViewId="0">
      <selection activeCell="F7" sqref="F7"/>
    </sheetView>
  </sheetViews>
  <sheetFormatPr baseColWidth="10" defaultRowHeight="15" x14ac:dyDescent="0.25"/>
  <sheetData>
    <row r="6" spans="3:6" x14ac:dyDescent="0.25">
      <c r="C6" t="s">
        <v>14</v>
      </c>
      <c r="D6" t="s">
        <v>56</v>
      </c>
      <c r="E6" t="s">
        <v>30</v>
      </c>
      <c r="F6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D7F0-EE64-47DB-8A2A-76AF896662DC}">
  <dimension ref="B3:I26"/>
  <sheetViews>
    <sheetView topLeftCell="A5" workbookViewId="0">
      <selection activeCell="I9" sqref="I9"/>
    </sheetView>
  </sheetViews>
  <sheetFormatPr baseColWidth="10" defaultRowHeight="15" x14ac:dyDescent="0.25"/>
  <cols>
    <col min="2" max="2" width="22.140625" bestFit="1" customWidth="1"/>
    <col min="3" max="3" width="8.28515625" bestFit="1" customWidth="1"/>
    <col min="4" max="4" width="11.7109375" bestFit="1" customWidth="1"/>
    <col min="5" max="5" width="12.5703125" bestFit="1" customWidth="1"/>
  </cols>
  <sheetData>
    <row r="3" spans="2:9" x14ac:dyDescent="0.25">
      <c r="B3" t="s">
        <v>18</v>
      </c>
      <c r="C3" t="s">
        <v>20</v>
      </c>
      <c r="D3" t="s">
        <v>21</v>
      </c>
      <c r="E3" t="s">
        <v>22</v>
      </c>
    </row>
    <row r="4" spans="2:9" x14ac:dyDescent="0.25">
      <c r="B4" t="s">
        <v>10</v>
      </c>
      <c r="C4" s="15">
        <v>3.51</v>
      </c>
      <c r="D4">
        <v>50</v>
      </c>
      <c r="E4" s="15">
        <f>IF(Inversion[[#This Row],[Unidades]]&gt;0,Inversion[[#This Row],[Costo]]/Inversion[[#This Row],[Unidades]],Inversion[[#This Row],[Costo]])</f>
        <v>7.0199999999999999E-2</v>
      </c>
    </row>
    <row r="5" spans="2:9" x14ac:dyDescent="0.25">
      <c r="B5" t="s">
        <v>8</v>
      </c>
      <c r="C5" s="15">
        <v>3.8</v>
      </c>
      <c r="D5">
        <v>100</v>
      </c>
      <c r="E5" s="15">
        <f>IF(Inversion[[#This Row],[Unidades]]&gt;0,Inversion[[#This Row],[Costo]]/Inversion[[#This Row],[Unidades]],Inversion[[#This Row],[Costo]])</f>
        <v>3.7999999999999999E-2</v>
      </c>
    </row>
    <row r="6" spans="2:9" x14ac:dyDescent="0.25">
      <c r="B6" t="s">
        <v>7</v>
      </c>
      <c r="C6" s="15">
        <v>3.62</v>
      </c>
      <c r="D6">
        <v>100</v>
      </c>
      <c r="E6" s="15">
        <f>IF(Inversion[[#This Row],[Unidades]]&gt;0,Inversion[[#This Row],[Costo]]/Inversion[[#This Row],[Unidades]],Inversion[[#This Row],[Costo]])</f>
        <v>3.6200000000000003E-2</v>
      </c>
      <c r="H6" t="s">
        <v>45</v>
      </c>
      <c r="I6">
        <v>36.6</v>
      </c>
    </row>
    <row r="7" spans="2:9" x14ac:dyDescent="0.25">
      <c r="B7" t="s">
        <v>5</v>
      </c>
      <c r="C7" s="15">
        <v>16.11</v>
      </c>
      <c r="D7">
        <v>6</v>
      </c>
      <c r="E7" s="15">
        <f>IF(Inversion[[#This Row],[Unidades]]&gt;0,Inversion[[#This Row],[Costo]]/Inversion[[#This Row],[Unidades]],Inversion[[#This Row],[Costo]])</f>
        <v>2.6850000000000001</v>
      </c>
    </row>
    <row r="8" spans="2:9" x14ac:dyDescent="0.25">
      <c r="B8" t="s">
        <v>6</v>
      </c>
      <c r="C8" s="15">
        <v>9.4499999999999993</v>
      </c>
      <c r="D8">
        <v>120</v>
      </c>
      <c r="E8" s="15">
        <f>IF(Inversion[[#This Row],[Unidades]]&gt;0,Inversion[[#This Row],[Costo]]/Inversion[[#This Row],[Unidades]],Inversion[[#This Row],[Costo]])</f>
        <v>7.8750000000000001E-2</v>
      </c>
    </row>
    <row r="9" spans="2:9" x14ac:dyDescent="0.25">
      <c r="B9" t="s">
        <v>4</v>
      </c>
      <c r="C9" s="15">
        <v>18.07</v>
      </c>
      <c r="D9">
        <v>700</v>
      </c>
      <c r="E9" s="15">
        <f>IF(Inversion[[#This Row],[Unidades]]&gt;0,Inversion[[#This Row],[Costo]]/Inversion[[#This Row],[Unidades]],Inversion[[#This Row],[Costo]])</f>
        <v>2.5814285714285713E-2</v>
      </c>
      <c r="H9" t="s">
        <v>44</v>
      </c>
      <c r="I9" s="15">
        <f>SUM(Inversion[Costo])*(-1)*I6</f>
        <v>-5928.101999999999</v>
      </c>
    </row>
    <row r="10" spans="2:9" x14ac:dyDescent="0.25">
      <c r="B10" t="s">
        <v>3</v>
      </c>
      <c r="C10" s="15">
        <v>5.0199999999999996</v>
      </c>
      <c r="D10">
        <v>80</v>
      </c>
      <c r="E10" s="15">
        <f>IF(Inversion[[#This Row],[Unidades]]&gt;0,Inversion[[#This Row],[Costo]]/Inversion[[#This Row],[Unidades]],Inversion[[#This Row],[Costo]])</f>
        <v>6.275E-2</v>
      </c>
    </row>
    <row r="11" spans="2:9" x14ac:dyDescent="0.25">
      <c r="B11" t="s">
        <v>9</v>
      </c>
      <c r="C11" s="15">
        <v>5.46</v>
      </c>
      <c r="D11">
        <v>20</v>
      </c>
      <c r="E11" s="15">
        <f>IF(Inversion[[#This Row],[Unidades]]&gt;0,Inversion[[#This Row],[Costo]]/Inversion[[#This Row],[Unidades]],Inversion[[#This Row],[Costo]])</f>
        <v>0.27300000000000002</v>
      </c>
    </row>
    <row r="12" spans="2:9" x14ac:dyDescent="0.25">
      <c r="B12" t="s">
        <v>9</v>
      </c>
      <c r="C12" s="15">
        <v>5.46</v>
      </c>
      <c r="D12">
        <v>20</v>
      </c>
      <c r="E12" s="15">
        <f>IF(Inversion[[#This Row],[Unidades]]&gt;0,Inversion[[#This Row],[Costo]]/Inversion[[#This Row],[Unidades]],Inversion[[#This Row],[Costo]])</f>
        <v>0.27300000000000002</v>
      </c>
    </row>
    <row r="13" spans="2:9" x14ac:dyDescent="0.25">
      <c r="B13" t="s">
        <v>1</v>
      </c>
      <c r="C13" s="15">
        <v>4.71</v>
      </c>
      <c r="D13">
        <v>10</v>
      </c>
      <c r="E13" s="15">
        <f>IF(Inversion[[#This Row],[Unidades]]&gt;0,Inversion[[#This Row],[Costo]]/Inversion[[#This Row],[Unidades]],Inversion[[#This Row],[Costo]])</f>
        <v>0.47099999999999997</v>
      </c>
    </row>
    <row r="14" spans="2:9" x14ac:dyDescent="0.25">
      <c r="B14" t="s">
        <v>1</v>
      </c>
      <c r="C14" s="15">
        <v>3.45</v>
      </c>
      <c r="D14">
        <v>20</v>
      </c>
      <c r="E14" s="15">
        <f>IF(Inversion[[#This Row],[Unidades]]&gt;0,Inversion[[#This Row],[Costo]]/Inversion[[#This Row],[Unidades]],Inversion[[#This Row],[Costo]])</f>
        <v>0.17250000000000001</v>
      </c>
    </row>
    <row r="15" spans="2:9" x14ac:dyDescent="0.25">
      <c r="B15" t="s">
        <v>10</v>
      </c>
      <c r="C15" s="15">
        <v>3.49</v>
      </c>
      <c r="D15">
        <v>50</v>
      </c>
      <c r="E15" s="15">
        <f>IF(Inversion[[#This Row],[Unidades]]&gt;0,Inversion[[#This Row],[Costo]]/Inversion[[#This Row],[Unidades]],Inversion[[#This Row],[Costo]])</f>
        <v>6.9800000000000001E-2</v>
      </c>
    </row>
    <row r="16" spans="2:9" x14ac:dyDescent="0.25">
      <c r="B16" t="s">
        <v>3</v>
      </c>
      <c r="C16" s="15">
        <v>5.12</v>
      </c>
      <c r="D16">
        <v>80</v>
      </c>
      <c r="E16" s="15">
        <f>IF(Inversion[[#This Row],[Unidades]]&gt;0,Inversion[[#This Row],[Costo]]/Inversion[[#This Row],[Unidades]],Inversion[[#This Row],[Costo]])</f>
        <v>6.4000000000000001E-2</v>
      </c>
    </row>
    <row r="17" spans="2:5" x14ac:dyDescent="0.25">
      <c r="B17" t="s">
        <v>7</v>
      </c>
      <c r="C17" s="15">
        <v>5.51</v>
      </c>
      <c r="D17">
        <v>200</v>
      </c>
      <c r="E17" s="15">
        <f>IF(Inversion[[#This Row],[Unidades]]&gt;0,Inversion[[#This Row],[Costo]]/Inversion[[#This Row],[Unidades]],Inversion[[#This Row],[Costo]])</f>
        <v>2.7549999999999998E-2</v>
      </c>
    </row>
    <row r="18" spans="2:5" x14ac:dyDescent="0.25">
      <c r="B18" t="s">
        <v>8</v>
      </c>
      <c r="C18" s="15">
        <v>4.18</v>
      </c>
      <c r="D18">
        <v>200</v>
      </c>
      <c r="E18" s="15">
        <f>IF(Inversion[[#This Row],[Unidades]]&gt;0,Inversion[[#This Row],[Costo]]/Inversion[[#This Row],[Unidades]],Inversion[[#This Row],[Costo]])</f>
        <v>2.0899999999999998E-2</v>
      </c>
    </row>
    <row r="19" spans="2:5" x14ac:dyDescent="0.25">
      <c r="B19" t="s">
        <v>8</v>
      </c>
      <c r="C19" s="15">
        <v>4.8099999999999996</v>
      </c>
      <c r="D19">
        <v>100</v>
      </c>
      <c r="E19" s="15">
        <f>IF(Inversion[[#This Row],[Unidades]]&gt;0,Inversion[[#This Row],[Costo]]/Inversion[[#This Row],[Unidades]],Inversion[[#This Row],[Costo]])</f>
        <v>4.8099999999999997E-2</v>
      </c>
    </row>
    <row r="20" spans="2:5" x14ac:dyDescent="0.25">
      <c r="B20" t="s">
        <v>5</v>
      </c>
      <c r="C20" s="15">
        <v>5.83</v>
      </c>
      <c r="D20">
        <v>3</v>
      </c>
      <c r="E20" s="15">
        <f>IF(Inversion[[#This Row],[Unidades]]&gt;0,Inversion[[#This Row],[Costo]]/Inversion[[#This Row],[Unidades]],Inversion[[#This Row],[Costo]])</f>
        <v>1.9433333333333334</v>
      </c>
    </row>
    <row r="21" spans="2:5" x14ac:dyDescent="0.25">
      <c r="B21" t="s">
        <v>5</v>
      </c>
      <c r="C21" s="15">
        <v>5.83</v>
      </c>
      <c r="D21">
        <v>3</v>
      </c>
      <c r="E21" s="15">
        <f>IF(Inversion[[#This Row],[Unidades]]&gt;0,Inversion[[#This Row],[Costo]]/Inversion[[#This Row],[Unidades]],Inversion[[#This Row],[Costo]])</f>
        <v>1.9433333333333334</v>
      </c>
    </row>
    <row r="22" spans="2:5" x14ac:dyDescent="0.25">
      <c r="B22" t="s">
        <v>32</v>
      </c>
      <c r="C22" s="15">
        <v>13.03</v>
      </c>
      <c r="D22">
        <v>1</v>
      </c>
      <c r="E22" s="15">
        <f>IF(Inversion[[#This Row],[Unidades]]&gt;0,Inversion[[#This Row],[Costo]]/Inversion[[#This Row],[Unidades]],Inversion[[#This Row],[Costo]])</f>
        <v>13.03</v>
      </c>
    </row>
    <row r="23" spans="2:5" x14ac:dyDescent="0.25">
      <c r="B23" t="s">
        <v>31</v>
      </c>
      <c r="C23" s="15">
        <v>26.28</v>
      </c>
      <c r="D23">
        <v>1</v>
      </c>
      <c r="E23" s="15">
        <f>IF(Inversion[[#This Row],[Unidades]]&gt;0,Inversion[[#This Row],[Costo]]/Inversion[[#This Row],[Unidades]],Inversion[[#This Row],[Costo]])</f>
        <v>26.28</v>
      </c>
    </row>
    <row r="24" spans="2:5" x14ac:dyDescent="0.25">
      <c r="B24" t="s">
        <v>34</v>
      </c>
      <c r="C24" s="15">
        <v>2.2200000000000002</v>
      </c>
      <c r="D24">
        <v>5</v>
      </c>
      <c r="E24" s="15">
        <f>IF(Inversion[[#This Row],[Unidades]]&gt;0,Inversion[[#This Row],[Costo]]/Inversion[[#This Row],[Unidades]],Inversion[[#This Row],[Costo]])</f>
        <v>0.44400000000000006</v>
      </c>
    </row>
    <row r="25" spans="2:5" x14ac:dyDescent="0.25">
      <c r="B25" t="s">
        <v>36</v>
      </c>
      <c r="C25" s="15">
        <v>3.12</v>
      </c>
      <c r="D25">
        <v>5</v>
      </c>
      <c r="E25" s="15">
        <f>IF(Inversion[[#This Row],[Unidades]]&gt;0,Inversion[[#This Row],[Costo]]/Inversion[[#This Row],[Unidades]],Inversion[[#This Row],[Costo]])</f>
        <v>0.624</v>
      </c>
    </row>
    <row r="26" spans="2:5" x14ac:dyDescent="0.25">
      <c r="B26" t="s">
        <v>46</v>
      </c>
      <c r="C26" s="15">
        <v>3.89</v>
      </c>
      <c r="D26">
        <v>1</v>
      </c>
      <c r="E26" s="15">
        <f>IF(Inversion[[#This Row],[Unidades]]&gt;0,Inversion[[#This Row],[Costo]]/Inversion[[#This Row],[Unidades]],Inversion[[#This Row],[Costo]])</f>
        <v>3.89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1898-D6FA-41EE-8977-66E7FE074DD8}">
  <dimension ref="C7:D13"/>
  <sheetViews>
    <sheetView workbookViewId="0">
      <selection activeCell="F13" sqref="F13"/>
    </sheetView>
  </sheetViews>
  <sheetFormatPr baseColWidth="10" defaultRowHeight="15" x14ac:dyDescent="0.25"/>
  <cols>
    <col min="3" max="3" width="11.5703125" customWidth="1"/>
    <col min="4" max="4" width="15.42578125" bestFit="1" customWidth="1"/>
  </cols>
  <sheetData>
    <row r="7" spans="3:4" x14ac:dyDescent="0.25">
      <c r="C7" t="s">
        <v>21</v>
      </c>
      <c r="D7" t="s">
        <v>49</v>
      </c>
    </row>
    <row r="8" spans="3:4" x14ac:dyDescent="0.25">
      <c r="C8">
        <v>10</v>
      </c>
      <c r="D8" t="s">
        <v>50</v>
      </c>
    </row>
    <row r="9" spans="3:4" x14ac:dyDescent="0.25">
      <c r="C9">
        <v>100</v>
      </c>
      <c r="D9" t="s">
        <v>51</v>
      </c>
    </row>
    <row r="10" spans="3:4" x14ac:dyDescent="0.25">
      <c r="C10">
        <v>100</v>
      </c>
      <c r="D10" t="s">
        <v>52</v>
      </c>
    </row>
    <row r="11" spans="3:4" x14ac:dyDescent="0.25">
      <c r="C11">
        <v>100</v>
      </c>
      <c r="D11" t="s">
        <v>53</v>
      </c>
    </row>
    <row r="12" spans="3:4" x14ac:dyDescent="0.25">
      <c r="C12">
        <v>10</v>
      </c>
      <c r="D12" t="s">
        <v>54</v>
      </c>
    </row>
    <row r="13" spans="3:4" x14ac:dyDescent="0.25">
      <c r="C13">
        <v>10</v>
      </c>
      <c r="D13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Cuentas</vt:lpstr>
      <vt:lpstr>Tabla de precios</vt:lpstr>
      <vt:lpstr>Productos</vt:lpstr>
      <vt:lpstr>Compras</vt:lpstr>
      <vt:lpstr>venas</vt:lpstr>
      <vt:lpstr>_Alquiler</vt:lpstr>
      <vt:lpstr>Pagos</vt:lpstr>
      <vt:lpstr>Productos a comprar</vt:lpstr>
      <vt:lpstr>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AntonioAguirre</cp:lastModifiedBy>
  <dcterms:created xsi:type="dcterms:W3CDTF">2023-07-26T20:46:53Z</dcterms:created>
  <dcterms:modified xsi:type="dcterms:W3CDTF">2023-09-13T20:00:37Z</dcterms:modified>
</cp:coreProperties>
</file>