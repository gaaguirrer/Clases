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OneDriveUpoli\OneDrive - UPOLI Universidad Politécnica de Nicaragua\Clases\Materias\Estadística descriptiva\"/>
    </mc:Choice>
  </mc:AlternateContent>
  <xr:revisionPtr revIDLastSave="0" documentId="13_ncr:1_{BD1E4369-94EA-4099-B8DA-A817159FE448}" xr6:coauthVersionLast="45" xr6:coauthVersionMax="45" xr10:uidLastSave="{00000000-0000-0000-0000-000000000000}"/>
  <bookViews>
    <workbookView xWindow="-120" yWindow="-120" windowWidth="20730" windowHeight="10845" activeTab="4" xr2:uid="{7955F1B2-355D-4CC4-8DB3-E2978AE79FF5}"/>
  </bookViews>
  <sheets>
    <sheet name="Hoja1" sheetId="1" r:id="rId1"/>
    <sheet name="TDF1" sheetId="2" r:id="rId2"/>
    <sheet name="TDF2" sheetId="3" r:id="rId3"/>
    <sheet name="TDF3" sheetId="4" r:id="rId4"/>
    <sheet name="TDF4" sheetId="5" r:id="rId5"/>
    <sheet name="TDF5" sheetId="6" r:id="rId6"/>
    <sheet name="TDF6" sheetId="7" r:id="rId7"/>
    <sheet name="TDF7" sheetId="8" r:id="rId8"/>
    <sheet name="TDF8" sheetId="9" r:id="rId9"/>
    <sheet name="TDF9" sheetId="10" r:id="rId10"/>
    <sheet name="TDF10" sheetId="11" r:id="rId11"/>
    <sheet name="TDF11" sheetId="12" r:id="rId12"/>
    <sheet name="TDF12" sheetId="13" r:id="rId13"/>
  </sheets>
  <definedNames>
    <definedName name="_xlchart.v1.0" hidden="1">'TDF1'!$D$4:$D$12</definedName>
    <definedName name="_xlchart.v1.1" hidden="1">'TDF1'!$E$4:$E$12</definedName>
    <definedName name="tabla8">'TDF8'!$D$2:$J$10</definedName>
    <definedName name="valor6">'TDF6'!$A$1:$A$20</definedName>
    <definedName name="valores">'TDF1'!$B$1:$B$30</definedName>
    <definedName name="valores_8">'TDF8'!$A$1:$A$20</definedName>
    <definedName name="valores1">'TDF4'!$A$1:$A$65</definedName>
    <definedName name="valores2">'TDF2'!$A$1:$A$30</definedName>
    <definedName name="Valores3">'TDF2'!$B$1:$B$30</definedName>
    <definedName name="valores4">'TDF3'!$A$1:$A$30</definedName>
    <definedName name="valores5">'TDF5'!$A$1:$A$65</definedName>
    <definedName name="valores6">'TDF6'!$A$1:$A$20</definedName>
    <definedName name="valores7">'TDF7'!$B$1:$B$20</definedName>
    <definedName name="valores8">'TDF8'!$D$2:$J$10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8" i="4" l="1"/>
  <c r="P57" i="4"/>
  <c r="P56" i="4"/>
  <c r="P55" i="4"/>
  <c r="P54" i="4"/>
  <c r="P53" i="4"/>
  <c r="P52" i="4"/>
  <c r="P51" i="4"/>
  <c r="P50" i="4"/>
  <c r="P57" i="3"/>
  <c r="P56" i="3"/>
  <c r="P55" i="3"/>
  <c r="P54" i="3"/>
  <c r="P53" i="3"/>
  <c r="P52" i="3"/>
  <c r="P51" i="3"/>
  <c r="P50" i="3"/>
  <c r="P49" i="3"/>
  <c r="Q13" i="2"/>
  <c r="Q12" i="2"/>
  <c r="Q11" i="2"/>
  <c r="Q10" i="2"/>
  <c r="Q9" i="2"/>
  <c r="Q8" i="2"/>
  <c r="Q7" i="2"/>
  <c r="Q6" i="2"/>
  <c r="Q5" i="2"/>
  <c r="K10" i="5"/>
  <c r="K9" i="5"/>
  <c r="K8" i="5"/>
  <c r="K7" i="5"/>
  <c r="K6" i="5"/>
  <c r="K5" i="5"/>
  <c r="K4" i="5"/>
  <c r="I4" i="2"/>
  <c r="H4" i="2"/>
  <c r="E4" i="2"/>
  <c r="I4" i="3"/>
  <c r="E9" i="9"/>
  <c r="E8" i="9"/>
  <c r="E7" i="9"/>
  <c r="E6" i="9"/>
  <c r="E5" i="9"/>
  <c r="E4" i="9"/>
  <c r="E3" i="9"/>
  <c r="G4" i="8"/>
  <c r="G5" i="8"/>
  <c r="G6" i="8"/>
  <c r="G7" i="8"/>
  <c r="G8" i="8"/>
  <c r="G9" i="8"/>
  <c r="G3" i="8"/>
  <c r="E9" i="8"/>
  <c r="E8" i="8"/>
  <c r="E7" i="8"/>
  <c r="E6" i="8"/>
  <c r="E5" i="8"/>
  <c r="E4" i="8"/>
  <c r="E3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" i="8"/>
  <c r="F4" i="7"/>
  <c r="F5" i="7"/>
  <c r="F6" i="7"/>
  <c r="F7" i="7"/>
  <c r="F8" i="7"/>
  <c r="F9" i="7"/>
  <c r="F3" i="7"/>
  <c r="D5" i="7"/>
  <c r="D9" i="7"/>
  <c r="D8" i="7"/>
  <c r="H8" i="7" s="1"/>
  <c r="D7" i="7"/>
  <c r="D6" i="7"/>
  <c r="H6" i="7" s="1"/>
  <c r="D4" i="7"/>
  <c r="H4" i="7" s="1"/>
  <c r="D3" i="7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1" i="1"/>
  <c r="D10" i="6"/>
  <c r="D9" i="6"/>
  <c r="D8" i="6"/>
  <c r="D7" i="6"/>
  <c r="D6" i="6"/>
  <c r="D5" i="6"/>
  <c r="D4" i="6"/>
  <c r="F5" i="5"/>
  <c r="F6" i="5"/>
  <c r="F7" i="5"/>
  <c r="F8" i="5"/>
  <c r="F9" i="5"/>
  <c r="F10" i="5"/>
  <c r="F4" i="5"/>
  <c r="E5" i="5"/>
  <c r="D10" i="5"/>
  <c r="D11" i="5" s="1"/>
  <c r="D9" i="5"/>
  <c r="D8" i="5"/>
  <c r="D7" i="5"/>
  <c r="D6" i="5"/>
  <c r="D5" i="5"/>
  <c r="D4" i="5"/>
  <c r="F5" i="4"/>
  <c r="F6" i="4"/>
  <c r="F7" i="4"/>
  <c r="F8" i="4"/>
  <c r="F9" i="4"/>
  <c r="F10" i="4"/>
  <c r="F11" i="4"/>
  <c r="F12" i="4"/>
  <c r="F4" i="4"/>
  <c r="D5" i="4"/>
  <c r="D6" i="4"/>
  <c r="D7" i="4"/>
  <c r="D8" i="4"/>
  <c r="D9" i="4"/>
  <c r="D10" i="4"/>
  <c r="D11" i="4"/>
  <c r="D12" i="4"/>
  <c r="D4" i="4"/>
  <c r="H10" i="4"/>
  <c r="L7" i="4"/>
  <c r="L6" i="4"/>
  <c r="L5" i="4"/>
  <c r="H5" i="4"/>
  <c r="L4" i="4"/>
  <c r="M7" i="3"/>
  <c r="M6" i="3"/>
  <c r="M5" i="3"/>
  <c r="M4" i="3"/>
  <c r="E5" i="3"/>
  <c r="E6" i="3"/>
  <c r="E7" i="3"/>
  <c r="E8" i="3"/>
  <c r="E9" i="3"/>
  <c r="E10" i="3"/>
  <c r="E11" i="3"/>
  <c r="E12" i="3"/>
  <c r="E4" i="3"/>
  <c r="E12" i="2"/>
  <c r="M7" i="2"/>
  <c r="M6" i="2"/>
  <c r="M5" i="2"/>
  <c r="M4" i="2"/>
  <c r="F5" i="2"/>
  <c r="F6" i="2" s="1"/>
  <c r="F7" i="2" s="1"/>
  <c r="F8" i="2" s="1"/>
  <c r="F9" i="2" s="1"/>
  <c r="F10" i="2" s="1"/>
  <c r="F11" i="2" s="1"/>
  <c r="F4" i="2"/>
  <c r="E5" i="2"/>
  <c r="E6" i="2"/>
  <c r="E7" i="2"/>
  <c r="E8" i="2"/>
  <c r="E9" i="2"/>
  <c r="E10" i="2"/>
  <c r="E11" i="2"/>
  <c r="F3" i="9" l="1"/>
  <c r="F4" i="9" s="1"/>
  <c r="F5" i="9" s="1"/>
  <c r="F6" i="9" s="1"/>
  <c r="F7" i="9" s="1"/>
  <c r="F8" i="9" s="1"/>
  <c r="F9" i="9" s="1"/>
  <c r="E10" i="9"/>
  <c r="G6" i="9" s="1"/>
  <c r="I5" i="8"/>
  <c r="I3" i="8"/>
  <c r="G10" i="8"/>
  <c r="I10" i="8" s="1"/>
  <c r="H3" i="8"/>
  <c r="J3" i="8" s="1"/>
  <c r="I7" i="8"/>
  <c r="I4" i="8"/>
  <c r="I9" i="8"/>
  <c r="F3" i="8"/>
  <c r="E10" i="8"/>
  <c r="F4" i="8"/>
  <c r="F5" i="8" s="1"/>
  <c r="F6" i="8" s="1"/>
  <c r="F7" i="8" s="1"/>
  <c r="F8" i="8" s="1"/>
  <c r="F9" i="8" s="1"/>
  <c r="D10" i="7"/>
  <c r="H5" i="7"/>
  <c r="H7" i="7"/>
  <c r="H9" i="7"/>
  <c r="E3" i="7"/>
  <c r="E4" i="7" s="1"/>
  <c r="E5" i="7" s="1"/>
  <c r="E6" i="7" s="1"/>
  <c r="E7" i="7" s="1"/>
  <c r="E8" i="7" s="1"/>
  <c r="E9" i="7" s="1"/>
  <c r="D11" i="6"/>
  <c r="F6" i="6" s="1"/>
  <c r="E4" i="6"/>
  <c r="E5" i="6" s="1"/>
  <c r="E6" i="6" s="1"/>
  <c r="E7" i="6" s="1"/>
  <c r="E8" i="6" s="1"/>
  <c r="E9" i="6" s="1"/>
  <c r="E10" i="6" s="1"/>
  <c r="F11" i="5"/>
  <c r="H5" i="5"/>
  <c r="H7" i="5"/>
  <c r="H4" i="5"/>
  <c r="H10" i="5"/>
  <c r="H8" i="5"/>
  <c r="H9" i="5"/>
  <c r="H6" i="5"/>
  <c r="E4" i="5"/>
  <c r="E6" i="5" s="1"/>
  <c r="E7" i="5" s="1"/>
  <c r="E8" i="5" s="1"/>
  <c r="E9" i="5" s="1"/>
  <c r="E10" i="5" s="1"/>
  <c r="H12" i="4"/>
  <c r="H8" i="4"/>
  <c r="H4" i="4"/>
  <c r="D13" i="4"/>
  <c r="E4" i="4"/>
  <c r="E5" i="4" s="1"/>
  <c r="H11" i="4"/>
  <c r="H7" i="4"/>
  <c r="H9" i="4"/>
  <c r="H6" i="4"/>
  <c r="G4" i="4"/>
  <c r="E6" i="4"/>
  <c r="E7" i="4" s="1"/>
  <c r="E8" i="4" s="1"/>
  <c r="E9" i="4" s="1"/>
  <c r="E10" i="4" s="1"/>
  <c r="E11" i="4" s="1"/>
  <c r="E12" i="4" s="1"/>
  <c r="F13" i="4"/>
  <c r="H13" i="4" s="1"/>
  <c r="E13" i="3"/>
  <c r="G11" i="3" s="1"/>
  <c r="G6" i="3"/>
  <c r="G7" i="3"/>
  <c r="G5" i="3"/>
  <c r="G9" i="3"/>
  <c r="G8" i="3"/>
  <c r="G12" i="3"/>
  <c r="G10" i="3"/>
  <c r="F4" i="3"/>
  <c r="F5" i="3" s="1"/>
  <c r="F6" i="3" s="1"/>
  <c r="F7" i="3" s="1"/>
  <c r="F8" i="3" s="1"/>
  <c r="F9" i="3" s="1"/>
  <c r="F10" i="3" s="1"/>
  <c r="F11" i="3" s="1"/>
  <c r="F12" i="3" s="1"/>
  <c r="G4" i="3"/>
  <c r="F12" i="2"/>
  <c r="E13" i="2"/>
  <c r="I6" i="9" l="1"/>
  <c r="G4" i="9"/>
  <c r="G9" i="9"/>
  <c r="G7" i="9"/>
  <c r="G5" i="9"/>
  <c r="G3" i="9"/>
  <c r="G8" i="9"/>
  <c r="H4" i="8"/>
  <c r="J4" i="8" s="1"/>
  <c r="I8" i="8"/>
  <c r="I6" i="8"/>
  <c r="H5" i="8"/>
  <c r="J5" i="8" s="1"/>
  <c r="F10" i="7"/>
  <c r="H10" i="7" s="1"/>
  <c r="G3" i="7"/>
  <c r="H3" i="7"/>
  <c r="F4" i="6"/>
  <c r="F9" i="6"/>
  <c r="H9" i="6" s="1"/>
  <c r="F8" i="6"/>
  <c r="H8" i="6" s="1"/>
  <c r="F5" i="6"/>
  <c r="H5" i="6" s="1"/>
  <c r="F7" i="6"/>
  <c r="F10" i="6"/>
  <c r="H10" i="6" s="1"/>
  <c r="G4" i="6"/>
  <c r="I4" i="6" s="1"/>
  <c r="H4" i="6"/>
  <c r="H6" i="6"/>
  <c r="G4" i="5"/>
  <c r="G5" i="5" s="1"/>
  <c r="I4" i="4"/>
  <c r="G5" i="4"/>
  <c r="G13" i="3"/>
  <c r="I13" i="3" s="1"/>
  <c r="H4" i="3"/>
  <c r="J4" i="3" s="1"/>
  <c r="I5" i="3"/>
  <c r="I12" i="3"/>
  <c r="I7" i="3"/>
  <c r="I10" i="3"/>
  <c r="I8" i="3"/>
  <c r="I6" i="3"/>
  <c r="I9" i="3"/>
  <c r="I11" i="3"/>
  <c r="G5" i="2"/>
  <c r="G9" i="2"/>
  <c r="I9" i="2" s="1"/>
  <c r="G6" i="2"/>
  <c r="G10" i="2"/>
  <c r="I10" i="2" s="1"/>
  <c r="G7" i="2"/>
  <c r="I7" i="2" s="1"/>
  <c r="G4" i="2"/>
  <c r="G11" i="2"/>
  <c r="I11" i="2" s="1"/>
  <c r="G8" i="2"/>
  <c r="I8" i="2" s="1"/>
  <c r="G12" i="2"/>
  <c r="I12" i="2" s="1"/>
  <c r="I8" i="9" l="1"/>
  <c r="I9" i="9"/>
  <c r="G10" i="9"/>
  <c r="I10" i="9" s="1"/>
  <c r="H3" i="9"/>
  <c r="J3" i="9" s="1"/>
  <c r="I3" i="9"/>
  <c r="I4" i="9"/>
  <c r="I5" i="9"/>
  <c r="I7" i="9"/>
  <c r="H6" i="8"/>
  <c r="J6" i="8" s="1"/>
  <c r="H7" i="8"/>
  <c r="I3" i="7"/>
  <c r="G4" i="7"/>
  <c r="F11" i="6"/>
  <c r="H11" i="6" s="1"/>
  <c r="H7" i="6"/>
  <c r="G5" i="6"/>
  <c r="I5" i="6" s="1"/>
  <c r="I4" i="5"/>
  <c r="I5" i="5"/>
  <c r="G6" i="5"/>
  <c r="I5" i="4"/>
  <c r="G6" i="4"/>
  <c r="H5" i="3"/>
  <c r="I6" i="2"/>
  <c r="J4" i="2"/>
  <c r="G13" i="2"/>
  <c r="I13" i="2" s="1"/>
  <c r="I5" i="2"/>
  <c r="H4" i="9" l="1"/>
  <c r="J7" i="8"/>
  <c r="H8" i="8"/>
  <c r="I4" i="7"/>
  <c r="G5" i="7"/>
  <c r="G6" i="6"/>
  <c r="G7" i="6" s="1"/>
  <c r="I6" i="5"/>
  <c r="G7" i="5"/>
  <c r="I6" i="4"/>
  <c r="G7" i="4"/>
  <c r="J5" i="3"/>
  <c r="H6" i="3"/>
  <c r="H5" i="2"/>
  <c r="J4" i="9" l="1"/>
  <c r="H5" i="9"/>
  <c r="J8" i="8"/>
  <c r="H9" i="8"/>
  <c r="J9" i="8" s="1"/>
  <c r="I5" i="7"/>
  <c r="G6" i="7"/>
  <c r="I6" i="6"/>
  <c r="I7" i="6"/>
  <c r="G8" i="6"/>
  <c r="I7" i="5"/>
  <c r="G8" i="5"/>
  <c r="I7" i="4"/>
  <c r="G8" i="4"/>
  <c r="J6" i="3"/>
  <c r="H7" i="3"/>
  <c r="J5" i="2"/>
  <c r="H6" i="2"/>
  <c r="J5" i="9" l="1"/>
  <c r="H6" i="9"/>
  <c r="I6" i="7"/>
  <c r="G7" i="7"/>
  <c r="I8" i="6"/>
  <c r="G9" i="6"/>
  <c r="I8" i="5"/>
  <c r="G9" i="5"/>
  <c r="I8" i="4"/>
  <c r="G9" i="4"/>
  <c r="J7" i="3"/>
  <c r="H8" i="3"/>
  <c r="H7" i="2"/>
  <c r="J6" i="2"/>
  <c r="J6" i="9" l="1"/>
  <c r="H7" i="9"/>
  <c r="I7" i="7"/>
  <c r="G8" i="7"/>
  <c r="I9" i="6"/>
  <c r="G10" i="6"/>
  <c r="I10" i="6" s="1"/>
  <c r="I9" i="5"/>
  <c r="G10" i="5"/>
  <c r="I9" i="4"/>
  <c r="G10" i="4"/>
  <c r="J8" i="3"/>
  <c r="H9" i="3"/>
  <c r="H8" i="2"/>
  <c r="J7" i="2"/>
  <c r="J7" i="9" l="1"/>
  <c r="H8" i="9"/>
  <c r="I8" i="7"/>
  <c r="G9" i="7"/>
  <c r="I9" i="7" s="1"/>
  <c r="I10" i="5"/>
  <c r="I10" i="4"/>
  <c r="G11" i="4"/>
  <c r="J9" i="3"/>
  <c r="H10" i="3"/>
  <c r="H9" i="2"/>
  <c r="J8" i="2"/>
  <c r="J8" i="9" l="1"/>
  <c r="H9" i="9"/>
  <c r="J9" i="9" s="1"/>
  <c r="I11" i="4"/>
  <c r="G12" i="4"/>
  <c r="I12" i="4" s="1"/>
  <c r="H11" i="3"/>
  <c r="J10" i="3"/>
  <c r="H10" i="2"/>
  <c r="J9" i="2"/>
  <c r="H12" i="3" l="1"/>
  <c r="J12" i="3" s="1"/>
  <c r="J11" i="3"/>
  <c r="H11" i="2"/>
  <c r="J10" i="2"/>
  <c r="H12" i="2" l="1"/>
  <c r="J12" i="2" s="1"/>
  <c r="J11" i="2"/>
  <c r="H11" i="5"/>
</calcChain>
</file>

<file path=xl/sharedStrings.xml><?xml version="1.0" encoding="utf-8"?>
<sst xmlns="http://schemas.openxmlformats.org/spreadsheetml/2006/main" count="129" uniqueCount="28">
  <si>
    <t>Temperatura</t>
  </si>
  <si>
    <t>fi</t>
  </si>
  <si>
    <t>SUM</t>
  </si>
  <si>
    <t>Fi</t>
  </si>
  <si>
    <t>ni</t>
  </si>
  <si>
    <t>Ni</t>
  </si>
  <si>
    <t>f%</t>
  </si>
  <si>
    <t>F%</t>
  </si>
  <si>
    <t>Moda</t>
  </si>
  <si>
    <t>Mediana</t>
  </si>
  <si>
    <t>Media</t>
  </si>
  <si>
    <t>Madia Geo</t>
  </si>
  <si>
    <t>[[]]</t>
  </si>
  <si>
    <t>[50,60)</t>
  </si>
  <si>
    <t>[70,80)</t>
  </si>
  <si>
    <t>[90,100)</t>
  </si>
  <si>
    <t>[60,70)</t>
  </si>
  <si>
    <t>[80,90)</t>
  </si>
  <si>
    <t>[100,110)</t>
  </si>
  <si>
    <t>[110,120]</t>
  </si>
  <si>
    <t>[2,7)</t>
  </si>
  <si>
    <t>[12,17)</t>
  </si>
  <si>
    <t>[17,22)</t>
  </si>
  <si>
    <t>[22,27)</t>
  </si>
  <si>
    <t>[27,32)</t>
  </si>
  <si>
    <t>[32,37]</t>
  </si>
  <si>
    <t>[7,12)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</si>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</sst>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2" xfId="0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1" fontId="2" fillId="0" borderId="5" xfId="0" applyNumberFormat="1" applyFont="1" applyBorder="1"/>
    <xf numFmtId="0" fontId="1" fillId="0" borderId="1" xfId="0" applyFont="1" applyBorder="1"/>
    <xf numFmtId="1" fontId="2" fillId="0" borderId="6" xfId="0" applyNumberFormat="1" applyFont="1" applyBorder="1"/>
    <xf numFmtId="1" fontId="2" fillId="0" borderId="7" xfId="0" applyNumberFormat="1" applyFont="1" applyBorder="1"/>
    <xf numFmtId="1" fontId="2" fillId="0" borderId="8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Temperaturas</c:v>
          </c:tx>
          <c:spPr>
            <a:solidFill>
              <a:schemeClr val="accent1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'TDF1'!$D$4:$D$12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'TDF1'!$E$4:$E$12</c:f>
              <c:numCache>
                <c:formatCode>0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E-4B3B-B218-C0A4F1D3F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Temperaturas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'TDF1'!$D$4:$D$12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'TDF1'!$I$4:$I$12</c:f>
              <c:numCache>
                <c:formatCode>0.000</c:formatCode>
                <c:ptCount val="9"/>
                <c:pt idx="0">
                  <c:v>16.666666666666664</c:v>
                </c:pt>
                <c:pt idx="1">
                  <c:v>6.666666666666667</c:v>
                </c:pt>
                <c:pt idx="2">
                  <c:v>3.3333333333333335</c:v>
                </c:pt>
                <c:pt idx="3">
                  <c:v>13.333333333333334</c:v>
                </c:pt>
                <c:pt idx="4">
                  <c:v>20</c:v>
                </c:pt>
                <c:pt idx="5">
                  <c:v>16.666666666666664</c:v>
                </c:pt>
                <c:pt idx="6">
                  <c:v>10</c:v>
                </c:pt>
                <c:pt idx="7">
                  <c:v>6.666666666666667</c:v>
                </c:pt>
                <c:pt idx="8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A-4DF2-A3B1-4D542AE2C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Temperaturas</c:v>
          </c:tx>
          <c:spPr>
            <a:solidFill>
              <a:schemeClr val="accent1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'TDF1'!$D$4:$D$12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'TDF1'!$E$4:$E$12</c:f>
              <c:numCache>
                <c:formatCode>0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9-413B-9130-411FD16A0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Temperaturas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'TDF1'!$D$4:$D$12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'TDF1'!$E$4:$E$12</c:f>
              <c:numCache>
                <c:formatCode>0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B-485E-BB59-D32F5F11DD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Temperaturas</c:v>
          </c:tx>
          <c:spPr>
            <a:solidFill>
              <a:schemeClr val="accent1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'TDF2'!$D$4:$D$12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'TDF2'!$E$4:$E$12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89-4081-901B-79AA85D4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Temperaturas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'TDF2'!$D$4:$D$12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'TDF2'!$I$4:$I$12</c:f>
              <c:numCache>
                <c:formatCode>0.000</c:formatCode>
                <c:ptCount val="9"/>
                <c:pt idx="0">
                  <c:v>3.3333333333333335</c:v>
                </c:pt>
                <c:pt idx="1">
                  <c:v>10</c:v>
                </c:pt>
                <c:pt idx="2">
                  <c:v>13.333333333333334</c:v>
                </c:pt>
                <c:pt idx="3">
                  <c:v>20</c:v>
                </c:pt>
                <c:pt idx="4">
                  <c:v>13.333333333333334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5E5-4F97-99B5-9C5E17A742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val>
            <c:numRef>
              <c:f>'TDF2'!$E$4:$E$12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94-4678-9F8C-C19232C2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Temperaturas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'TDF2'!$D$4:$D$12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'TDF2'!$E$4:$E$12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1-447F-984D-3587B02CD6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numRef>
              <c:f>'TDF3'!$C$4:$C$12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'TDF3'!$D$4:$D$12</c:f>
              <c:numCache>
                <c:formatCode>0</c:formatCode>
                <c:ptCount val="9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7-4AB7-8C8A-55D39EB32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'TDF3'!$C$4:$C$12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'TDF3'!$H$4:$H$12</c:f>
              <c:numCache>
                <c:formatCode>0.000</c:formatCode>
                <c:ptCount val="9"/>
                <c:pt idx="0">
                  <c:v>20</c:v>
                </c:pt>
                <c:pt idx="1">
                  <c:v>3.3333333333333335</c:v>
                </c:pt>
                <c:pt idx="2">
                  <c:v>6.666666666666667</c:v>
                </c:pt>
                <c:pt idx="3">
                  <c:v>10</c:v>
                </c:pt>
                <c:pt idx="4">
                  <c:v>13.333333333333334</c:v>
                </c:pt>
                <c:pt idx="5">
                  <c:v>20</c:v>
                </c:pt>
                <c:pt idx="6">
                  <c:v>10</c:v>
                </c:pt>
                <c:pt idx="7">
                  <c:v>3.3333333333333335</c:v>
                </c:pt>
                <c:pt idx="8">
                  <c:v>13.333333333333334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123-4558-A16A-FF0F33A037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'TDF3'!$C$4:$C$12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'TDF3'!$D$4:$D$12</c:f>
              <c:numCache>
                <c:formatCode>0</c:formatCode>
                <c:ptCount val="9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C-4F81-810D-BB8904B5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'TDF3'!$C$4:$C$12</c:f>
              <c:numCache>
                <c:formatCode>0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</c:numCache>
            </c:numRef>
          </c:cat>
          <c:val>
            <c:numRef>
              <c:f>'TDF3'!$D$4:$D$12</c:f>
              <c:numCache>
                <c:formatCode>0</c:formatCode>
                <c:ptCount val="9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22-45F9-ABA6-8A0DE1D354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'TDF4'!$D$4:$D$10</c:f>
              <c:strCache>
                <c:ptCount val="7"/>
                <c:pt idx="0">
                  <c:v>6</c:v>
                </c:pt>
                <c:pt idx="1">
                  <c:v>12</c:v>
                </c:pt>
                <c:pt idx="2">
                  <c:v>2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  <c:pt idx="6">
                  <c:v>11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numRef>
              <c:f>'TDF4'!$J$4:$J$10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'TDF4'!$D$4:$D$10</c:f>
              <c:numCache>
                <c:formatCode>0</c:formatCode>
                <c:ptCount val="7"/>
                <c:pt idx="0">
                  <c:v>6</c:v>
                </c:pt>
                <c:pt idx="1">
                  <c:v>12</c:v>
                </c:pt>
                <c:pt idx="2">
                  <c:v>2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8-4555-A8D8-2208EC2E7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'TDF4'!$J$4:$J$10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'TDF4'!$H$4:$H$10</c:f>
              <c:numCache>
                <c:formatCode>0.000</c:formatCode>
                <c:ptCount val="7"/>
                <c:pt idx="0">
                  <c:v>9.2307692307692317</c:v>
                </c:pt>
                <c:pt idx="1">
                  <c:v>18.461538461538463</c:v>
                </c:pt>
                <c:pt idx="2">
                  <c:v>3.0769230769230771</c:v>
                </c:pt>
                <c:pt idx="3">
                  <c:v>13.846153846153847</c:v>
                </c:pt>
                <c:pt idx="4">
                  <c:v>15.384615384615385</c:v>
                </c:pt>
                <c:pt idx="5">
                  <c:v>23.076923076923077</c:v>
                </c:pt>
                <c:pt idx="6">
                  <c:v>16.923076923076923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09A-446D-9506-5FDF3C93E5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'TDF4'!$J$4:$J$10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'TDF4'!$D$4:$D$10</c:f>
              <c:numCache>
                <c:formatCode>0</c:formatCode>
                <c:ptCount val="7"/>
                <c:pt idx="0">
                  <c:v>6</c:v>
                </c:pt>
                <c:pt idx="1">
                  <c:v>12</c:v>
                </c:pt>
                <c:pt idx="2">
                  <c:v>2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4-44DD-9395-83A9A1471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'TDF4'!$J$4:$J$10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'TDF4'!$D$4:$D$10</c:f>
              <c:numCache>
                <c:formatCode>0</c:formatCode>
                <c:ptCount val="7"/>
                <c:pt idx="0">
                  <c:v>6</c:v>
                </c:pt>
                <c:pt idx="1">
                  <c:v>12</c:v>
                </c:pt>
                <c:pt idx="2">
                  <c:v>2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  <c:pt idx="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2-46BB-B106-CBBCB10B11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numRef>
              <c:f>'TDF5'!$J$4:$J$10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'TDF5'!$D$4:$D$10</c:f>
              <c:numCache>
                <c:formatCode>0</c:formatCode>
                <c:ptCount val="7"/>
                <c:pt idx="0">
                  <c:v>12</c:v>
                </c:pt>
                <c:pt idx="1">
                  <c:v>6</c:v>
                </c:pt>
                <c:pt idx="2">
                  <c:v>7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4-437F-8BC7-3767088AD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'TDF5'!$J$4:$J$10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'TDF5'!$H$4:$H$10</c:f>
              <c:numCache>
                <c:formatCode>0.000</c:formatCode>
                <c:ptCount val="7"/>
                <c:pt idx="0">
                  <c:v>18.461538461538463</c:v>
                </c:pt>
                <c:pt idx="1">
                  <c:v>9.2307692307692317</c:v>
                </c:pt>
                <c:pt idx="2">
                  <c:v>10.76923076923077</c:v>
                </c:pt>
                <c:pt idx="3">
                  <c:v>20</c:v>
                </c:pt>
                <c:pt idx="4">
                  <c:v>10.76923076923077</c:v>
                </c:pt>
                <c:pt idx="5">
                  <c:v>16.923076923076923</c:v>
                </c:pt>
                <c:pt idx="6">
                  <c:v>13.846153846153847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6CC-4F55-92D4-3BB95C8CF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'TDF5'!$J$4:$J$10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'TDF5'!$D$4:$D$10</c:f>
              <c:numCache>
                <c:formatCode>0</c:formatCode>
                <c:ptCount val="7"/>
                <c:pt idx="0">
                  <c:v>12</c:v>
                </c:pt>
                <c:pt idx="1">
                  <c:v>6</c:v>
                </c:pt>
                <c:pt idx="2">
                  <c:v>7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F-4419-AD47-250EE8F9A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'TDF5'!$J$4:$J$10</c:f>
              <c:numCache>
                <c:formatCode>General</c:formatCode>
                <c:ptCount val="7"/>
                <c:pt idx="0">
                  <c:v>55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</c:numCache>
            </c:numRef>
          </c:cat>
          <c:val>
            <c:numRef>
              <c:f>'TDF5'!$D$4:$D$10</c:f>
              <c:numCache>
                <c:formatCode>0</c:formatCode>
                <c:ptCount val="7"/>
                <c:pt idx="0">
                  <c:v>12</c:v>
                </c:pt>
                <c:pt idx="1">
                  <c:v>6</c:v>
                </c:pt>
                <c:pt idx="2">
                  <c:v>7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5E-410A-BC95-372346D3A1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numRef>
              <c:f>'TDF6'!$J$3:$J$9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'TDF6'!$D$3:$D$9</c:f>
              <c:numCache>
                <c:formatCode>0</c:formatCode>
                <c:ptCount val="7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EC-4F1B-A731-B48CC518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AB-4757-86D6-92D587E8C9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AB-4757-86D6-92D587E8C9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AB-4757-86D6-92D587E8C9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AB-4757-86D6-92D587E8C9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AB-4757-86D6-92D587E8C9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AB-4757-86D6-92D587E8C9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9AB-4757-86D6-92D587E8C9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'TDF6'!$J$3:$J$9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'TDF6'!$H$3:$H$9</c:f>
              <c:numCache>
                <c:formatCode>0.000</c:formatCode>
                <c:ptCount val="7"/>
                <c:pt idx="0">
                  <c:v>15</c:v>
                </c:pt>
                <c:pt idx="1">
                  <c:v>25</c:v>
                </c:pt>
                <c:pt idx="2">
                  <c:v>5</c:v>
                </c:pt>
                <c:pt idx="3">
                  <c:v>5</c:v>
                </c:pt>
                <c:pt idx="4">
                  <c:v>15</c:v>
                </c:pt>
                <c:pt idx="5">
                  <c:v>15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9AB-4757-86D6-92D587E8C9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'TDF6'!$J$3:$J$9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'TDF6'!$D$3:$D$9</c:f>
              <c:numCache>
                <c:formatCode>0</c:formatCode>
                <c:ptCount val="7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6-4F50-8E25-41F963B16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'TDF6'!$J$3:$J$9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'TDF6'!$D$3:$D$9</c:f>
              <c:numCache>
                <c:formatCode>0</c:formatCode>
                <c:ptCount val="7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F-42B8-81A0-760A9BF1F3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'TDF7'!$K$3:$K$9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'TDF7'!$E$3:$E$9</c:f>
              <c:numCache>
                <c:formatCode>0</c:formatCode>
                <c:ptCount val="7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F-43BC-A276-35EF8EC6F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'TDF7'!$K$3:$K$9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'TDF7'!$I$3:$I$9</c:f>
              <c:numCache>
                <c:formatCode>0.000</c:formatCode>
                <c:ptCount val="7"/>
                <c:pt idx="0">
                  <c:v>20</c:v>
                </c:pt>
                <c:pt idx="1">
                  <c:v>10</c:v>
                </c:pt>
                <c:pt idx="2">
                  <c:v>15</c:v>
                </c:pt>
                <c:pt idx="3">
                  <c:v>10</c:v>
                </c:pt>
                <c:pt idx="4">
                  <c:v>20</c:v>
                </c:pt>
                <c:pt idx="5">
                  <c:v>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1CD-4AA0-9948-29D449C7B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'TDF7'!$K$3:$K$9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'TDF7'!$E$3:$E$9</c:f>
              <c:numCache>
                <c:formatCode>0</c:formatCode>
                <c:ptCount val="7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2B-4B8C-B84F-4B807051B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'TDF7'!$K$3:$K$9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'TDF7'!$E$3:$E$9</c:f>
              <c:numCache>
                <c:formatCode>0</c:formatCode>
                <c:ptCount val="7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5-42D6-AED8-7DA16CED87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'TDF8'!$K$3:$K$9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'TDF8'!$E$3:$E$9</c:f>
              <c:numCache>
                <c:formatCode>0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2-4D82-B22F-B50CC4496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'TDF8'!$K$3:$K$9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'TDF8'!$I$3:$I$9</c:f>
              <c:numCache>
                <c:formatCode>0.000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5</c:v>
                </c:pt>
                <c:pt idx="3">
                  <c:v>15</c:v>
                </c:pt>
                <c:pt idx="4">
                  <c:v>10</c:v>
                </c:pt>
                <c:pt idx="5">
                  <c:v>10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41E-4BFD-9295-FD27C7485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'TDF8'!$K$3:$K$9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'TDF8'!$E$3:$E$9</c:f>
              <c:numCache>
                <c:formatCode>0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E-4422-BE63-1F4721FFB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4790592"/>
        <c:axId val="563083072"/>
      </c:bar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'TDF8'!$K$3:$K$9</c:f>
              <c:numCache>
                <c:formatCode>General</c:formatCode>
                <c:ptCount val="7"/>
                <c:pt idx="0">
                  <c:v>4.5</c:v>
                </c:pt>
                <c:pt idx="1">
                  <c:v>9.5</c:v>
                </c:pt>
                <c:pt idx="2">
                  <c:v>14.5</c:v>
                </c:pt>
                <c:pt idx="3">
                  <c:v>19.5</c:v>
                </c:pt>
                <c:pt idx="4">
                  <c:v>24.5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'TDF8'!$E$3:$E$9</c:f>
              <c:numCache>
                <c:formatCode>0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81-4FE7-8423-77D176093E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4790592"/>
        <c:axId val="563083072"/>
      </c:lineChart>
      <c:catAx>
        <c:axId val="4247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63083072"/>
        <c:crosses val="autoZero"/>
        <c:auto val="1"/>
        <c:lblAlgn val="ctr"/>
        <c:lblOffset val="100"/>
        <c:noMultiLvlLbl val="0"/>
      </c:catAx>
      <c:valAx>
        <c:axId val="563083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247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14</xdr:row>
      <xdr:rowOff>104775</xdr:rowOff>
    </xdr:from>
    <xdr:to>
      <xdr:col>8</xdr:col>
      <xdr:colOff>704850</xdr:colOff>
      <xdr:row>28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633D6B-AFE5-4B41-9675-A97F97E52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219075</xdr:colOff>
      <xdr:row>14</xdr:row>
      <xdr:rowOff>0</xdr:rowOff>
    </xdr:from>
    <xdr:to>
      <xdr:col>15</xdr:col>
      <xdr:colOff>219075</xdr:colOff>
      <xdr:row>28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95506B-58EA-4127-9B74-7BE07348B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30</xdr:row>
      <xdr:rowOff>9525</xdr:rowOff>
    </xdr:from>
    <xdr:to>
      <xdr:col>8</xdr:col>
      <xdr:colOff>714375</xdr:colOff>
      <xdr:row>44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57D191B-95BA-4A46-8BFE-2436F1F46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409575</xdr:colOff>
      <xdr:row>29</xdr:row>
      <xdr:rowOff>152400</xdr:rowOff>
    </xdr:from>
    <xdr:to>
      <xdr:col>15</xdr:col>
      <xdr:colOff>409575</xdr:colOff>
      <xdr:row>44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D803AB-62BA-436E-BC5A-B617F25E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9525</xdr:rowOff>
    </xdr:from>
    <xdr:to>
      <xdr:col>9</xdr:col>
      <xdr:colOff>0</xdr:colOff>
      <xdr:row>28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4FBFF-36E0-46AA-8B09-D2AACF66F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14</xdr:row>
      <xdr:rowOff>0</xdr:rowOff>
    </xdr:from>
    <xdr:to>
      <xdr:col>15</xdr:col>
      <xdr:colOff>485775</xdr:colOff>
      <xdr:row>28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1F9C90-2363-4FCC-AABB-978D03A53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29</xdr:row>
      <xdr:rowOff>104775</xdr:rowOff>
    </xdr:from>
    <xdr:to>
      <xdr:col>9</xdr:col>
      <xdr:colOff>9525</xdr:colOff>
      <xdr:row>43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584750-8928-4EB7-90DF-E346FEB9E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466725</xdr:colOff>
      <xdr:row>29</xdr:row>
      <xdr:rowOff>57150</xdr:rowOff>
    </xdr:from>
    <xdr:to>
      <xdr:col>15</xdr:col>
      <xdr:colOff>466725</xdr:colOff>
      <xdr:row>43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24BD8F-F23C-4157-9F98-B175F942F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9525</xdr:rowOff>
    </xdr:from>
    <xdr:to>
      <xdr:col>8</xdr:col>
      <xdr:colOff>0</xdr:colOff>
      <xdr:row>29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6B7367-7C43-42D0-B4A1-0D225BBC4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15</xdr:row>
      <xdr:rowOff>0</xdr:rowOff>
    </xdr:from>
    <xdr:to>
      <xdr:col>14</xdr:col>
      <xdr:colOff>485775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E9C3F9-3FD6-4D47-AB16-E337CFE82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30</xdr:row>
      <xdr:rowOff>104775</xdr:rowOff>
    </xdr:from>
    <xdr:to>
      <xdr:col>8</xdr:col>
      <xdr:colOff>9525</xdr:colOff>
      <xdr:row>44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3980BC-E75E-4E56-BA4E-12E121CF2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466725</xdr:colOff>
      <xdr:row>30</xdr:row>
      <xdr:rowOff>57150</xdr:rowOff>
    </xdr:from>
    <xdr:to>
      <xdr:col>14</xdr:col>
      <xdr:colOff>466725</xdr:colOff>
      <xdr:row>44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666138-231A-4CAB-B563-A23615694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9525</xdr:rowOff>
    </xdr:from>
    <xdr:to>
      <xdr:col>7</xdr:col>
      <xdr:colOff>695325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DED621-158F-4223-B463-F35361F95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13</xdr:row>
      <xdr:rowOff>0</xdr:rowOff>
    </xdr:from>
    <xdr:to>
      <xdr:col>14</xdr:col>
      <xdr:colOff>419100</xdr:colOff>
      <xdr:row>27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94DDC8-A208-4D10-B739-F54F86842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28</xdr:row>
      <xdr:rowOff>104775</xdr:rowOff>
    </xdr:from>
    <xdr:to>
      <xdr:col>7</xdr:col>
      <xdr:colOff>704850</xdr:colOff>
      <xdr:row>42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9ED881-1D12-4753-9BD4-7E6BBEE47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400050</xdr:colOff>
      <xdr:row>28</xdr:row>
      <xdr:rowOff>57150</xdr:rowOff>
    </xdr:from>
    <xdr:to>
      <xdr:col>14</xdr:col>
      <xdr:colOff>400050</xdr:colOff>
      <xdr:row>42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3D9454-2552-4765-94ED-D45BAD72A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9525</xdr:rowOff>
    </xdr:from>
    <xdr:to>
      <xdr:col>8</xdr:col>
      <xdr:colOff>0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ADC3CC-78D1-432D-AD6A-CC0CA250B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13</xdr:row>
      <xdr:rowOff>0</xdr:rowOff>
    </xdr:from>
    <xdr:to>
      <xdr:col>14</xdr:col>
      <xdr:colOff>485775</xdr:colOff>
      <xdr:row>27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C87D14-F489-4F30-B36B-F6BADB021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28</xdr:row>
      <xdr:rowOff>104775</xdr:rowOff>
    </xdr:from>
    <xdr:to>
      <xdr:col>8</xdr:col>
      <xdr:colOff>9525</xdr:colOff>
      <xdr:row>42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7EF560-E632-477F-8273-8B59E34B9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466725</xdr:colOff>
      <xdr:row>28</xdr:row>
      <xdr:rowOff>57150</xdr:rowOff>
    </xdr:from>
    <xdr:to>
      <xdr:col>14</xdr:col>
      <xdr:colOff>466725</xdr:colOff>
      <xdr:row>42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73C9D3-228F-48EF-AD62-116176CE1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9525</xdr:rowOff>
    </xdr:from>
    <xdr:to>
      <xdr:col>7</xdr:col>
      <xdr:colOff>733425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8A5A1B-0CAE-4F04-BDCC-D5DEE8B8A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13</xdr:row>
      <xdr:rowOff>0</xdr:rowOff>
    </xdr:from>
    <xdr:to>
      <xdr:col>14</xdr:col>
      <xdr:colOff>457200</xdr:colOff>
      <xdr:row>27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2D80D0-8369-49E7-9C95-4F69919C4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28</xdr:row>
      <xdr:rowOff>104775</xdr:rowOff>
    </xdr:from>
    <xdr:to>
      <xdr:col>7</xdr:col>
      <xdr:colOff>742950</xdr:colOff>
      <xdr:row>42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534FFD-A806-456E-A26C-C82DA587C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438150</xdr:colOff>
      <xdr:row>28</xdr:row>
      <xdr:rowOff>57150</xdr:rowOff>
    </xdr:from>
    <xdr:to>
      <xdr:col>14</xdr:col>
      <xdr:colOff>438150</xdr:colOff>
      <xdr:row>42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14FE332-3ED6-4A3F-8058-CCE005657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9525</xdr:rowOff>
    </xdr:from>
    <xdr:to>
      <xdr:col>9</xdr:col>
      <xdr:colOff>0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818271-020C-4D47-BA68-39230E0E4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13</xdr:row>
      <xdr:rowOff>0</xdr:rowOff>
    </xdr:from>
    <xdr:to>
      <xdr:col>15</xdr:col>
      <xdr:colOff>485775</xdr:colOff>
      <xdr:row>27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101943-D5D8-4134-9C07-064323993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28</xdr:row>
      <xdr:rowOff>104775</xdr:rowOff>
    </xdr:from>
    <xdr:to>
      <xdr:col>9</xdr:col>
      <xdr:colOff>9525</xdr:colOff>
      <xdr:row>42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2618FD-BFDD-41D7-9F2C-A590BA9F3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466725</xdr:colOff>
      <xdr:row>28</xdr:row>
      <xdr:rowOff>57150</xdr:rowOff>
    </xdr:from>
    <xdr:to>
      <xdr:col>15</xdr:col>
      <xdr:colOff>466725</xdr:colOff>
      <xdr:row>42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D323F57-F7AB-4CDF-950A-DA7B85326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11</xdr:row>
      <xdr:rowOff>9525</xdr:rowOff>
    </xdr:from>
    <xdr:to>
      <xdr:col>7</xdr:col>
      <xdr:colOff>752475</xdr:colOff>
      <xdr:row>25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FFBFC3-82C8-4592-BBFD-A2EE40C21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476250</xdr:colOff>
      <xdr:row>11</xdr:row>
      <xdr:rowOff>0</xdr:rowOff>
    </xdr:from>
    <xdr:to>
      <xdr:col>14</xdr:col>
      <xdr:colOff>476250</xdr:colOff>
      <xdr:row>25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AB95BA-25DD-4AEB-9FC3-E212F79B2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26</xdr:row>
      <xdr:rowOff>104775</xdr:rowOff>
    </xdr:from>
    <xdr:to>
      <xdr:col>8</xdr:col>
      <xdr:colOff>0</xdr:colOff>
      <xdr:row>40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3AC4E63-8182-4784-A8B6-7101A9888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26</xdr:row>
      <xdr:rowOff>57150</xdr:rowOff>
    </xdr:from>
    <xdr:to>
      <xdr:col>14</xdr:col>
      <xdr:colOff>457200</xdr:colOff>
      <xdr:row>40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82953F-03AC-4536-8907-318966EDF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8123-E016-4448-989C-CEB110A4042E}">
  <dimension ref="B1:E21"/>
  <sheetViews>
    <sheetView workbookViewId="0">
      <selection activeCell="E15" sqref="E15"/>
    </sheetView>
  </sheetViews>
  <sheetFormatPr baseColWidth="10" defaultRowHeight="15" x14ac:dyDescent="0.25"/>
  <cols>
    <col min="4" max="4" width="12.42578125" bestFit="1" customWidth="1"/>
  </cols>
  <sheetData>
    <row r="1" spans="2:5" x14ac:dyDescent="0.25">
      <c r="B1">
        <f ca="1">RANDBETWEEN(2,37)</f>
        <v>34</v>
      </c>
    </row>
    <row r="2" spans="2:5" x14ac:dyDescent="0.25">
      <c r="B2">
        <f t="shared" ref="B2:B20" ca="1" si="0">RANDBETWEEN(2,37)</f>
        <v>13</v>
      </c>
    </row>
    <row r="3" spans="2:5" x14ac:dyDescent="0.25">
      <c r="B3">
        <f t="shared" ca="1" si="0"/>
        <v>3</v>
      </c>
    </row>
    <row r="4" spans="2:5" x14ac:dyDescent="0.25">
      <c r="B4">
        <f t="shared" ca="1" si="0"/>
        <v>12</v>
      </c>
    </row>
    <row r="5" spans="2:5" x14ac:dyDescent="0.25">
      <c r="B5">
        <f t="shared" ca="1" si="0"/>
        <v>4</v>
      </c>
    </row>
    <row r="6" spans="2:5" x14ac:dyDescent="0.25">
      <c r="B6">
        <f t="shared" ca="1" si="0"/>
        <v>5</v>
      </c>
    </row>
    <row r="7" spans="2:5" x14ac:dyDescent="0.25">
      <c r="B7">
        <f t="shared" ca="1" si="0"/>
        <v>2</v>
      </c>
    </row>
    <row r="8" spans="2:5" x14ac:dyDescent="0.25">
      <c r="B8">
        <f t="shared" ca="1" si="0"/>
        <v>13</v>
      </c>
    </row>
    <row r="9" spans="2:5" x14ac:dyDescent="0.25">
      <c r="B9">
        <f t="shared" ca="1" si="0"/>
        <v>15</v>
      </c>
    </row>
    <row r="10" spans="2:5" x14ac:dyDescent="0.25">
      <c r="B10">
        <f t="shared" ca="1" si="0"/>
        <v>35</v>
      </c>
    </row>
    <row r="11" spans="2:5" x14ac:dyDescent="0.25">
      <c r="B11">
        <f t="shared" ca="1" si="0"/>
        <v>25</v>
      </c>
    </row>
    <row r="12" spans="2:5" x14ac:dyDescent="0.25">
      <c r="B12">
        <f t="shared" ca="1" si="0"/>
        <v>7</v>
      </c>
    </row>
    <row r="13" spans="2:5" x14ac:dyDescent="0.25">
      <c r="B13">
        <f t="shared" ca="1" si="0"/>
        <v>22</v>
      </c>
      <c r="D13" s="2"/>
      <c r="E13" s="1"/>
    </row>
    <row r="14" spans="2:5" x14ac:dyDescent="0.25">
      <c r="B14">
        <f t="shared" ca="1" si="0"/>
        <v>13</v>
      </c>
      <c r="D14" s="2"/>
      <c r="E14" s="1"/>
    </row>
    <row r="15" spans="2:5" x14ac:dyDescent="0.25">
      <c r="B15">
        <f t="shared" ca="1" si="0"/>
        <v>19</v>
      </c>
      <c r="D15" s="2"/>
      <c r="E15" s="1"/>
    </row>
    <row r="16" spans="2:5" x14ac:dyDescent="0.25">
      <c r="B16">
        <f t="shared" ca="1" si="0"/>
        <v>30</v>
      </c>
      <c r="D16" s="2"/>
      <c r="E16" s="1" t="s">
        <v>12</v>
      </c>
    </row>
    <row r="17" spans="2:5" x14ac:dyDescent="0.25">
      <c r="B17">
        <f t="shared" ca="1" si="0"/>
        <v>13</v>
      </c>
      <c r="D17" s="2"/>
      <c r="E17" s="1" t="s">
        <v>12</v>
      </c>
    </row>
    <row r="18" spans="2:5" x14ac:dyDescent="0.25">
      <c r="B18">
        <f t="shared" ca="1" si="0"/>
        <v>18</v>
      </c>
      <c r="D18" s="2"/>
      <c r="E18" s="1" t="s">
        <v>12</v>
      </c>
    </row>
    <row r="19" spans="2:5" x14ac:dyDescent="0.25">
      <c r="B19">
        <f t="shared" ca="1" si="0"/>
        <v>28</v>
      </c>
      <c r="D19" s="2"/>
      <c r="E19" s="1" t="s">
        <v>12</v>
      </c>
    </row>
    <row r="20" spans="2:5" x14ac:dyDescent="0.25">
      <c r="B20">
        <f t="shared" ca="1" si="0"/>
        <v>10</v>
      </c>
      <c r="D20" s="2"/>
      <c r="E20" s="1" t="s">
        <v>12</v>
      </c>
    </row>
    <row r="21" spans="2:5" x14ac:dyDescent="0.25">
      <c r="D21" s="2"/>
      <c r="E2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891A-8219-4D40-AB7C-669A514FBF9E}">
  <dimension ref="B1:Q30"/>
  <sheetViews>
    <sheetView topLeftCell="B1" workbookViewId="0">
      <selection activeCell="P4" sqref="P4:Q13"/>
    </sheetView>
  </sheetViews>
  <sheetFormatPr baseColWidth="10" defaultRowHeight="15" x14ac:dyDescent="0.25"/>
  <cols>
    <col min="4" max="4" width="12.42578125" bestFit="1" customWidth="1"/>
    <col min="16" max="16" width="4.140625" bestFit="1" customWidth="1"/>
    <col min="17" max="17" width="2.85546875" bestFit="1" customWidth="1"/>
  </cols>
  <sheetData>
    <row r="1" spans="2:17" x14ac:dyDescent="0.25">
      <c r="B1">
        <v>27</v>
      </c>
    </row>
    <row r="2" spans="2:17" x14ac:dyDescent="0.25">
      <c r="B2">
        <v>27</v>
      </c>
    </row>
    <row r="3" spans="2:17" ht="15.75" thickBot="1" x14ac:dyDescent="0.3">
      <c r="B3">
        <v>27</v>
      </c>
      <c r="D3" t="s">
        <v>0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2:17" ht="19.5" thickBot="1" x14ac:dyDescent="0.35">
      <c r="B4">
        <v>27</v>
      </c>
      <c r="D4" s="2">
        <v>27</v>
      </c>
      <c r="E4" s="2">
        <f>COUNTIF(valores,D4)</f>
        <v>5</v>
      </c>
      <c r="F4" s="2">
        <f>E4</f>
        <v>5</v>
      </c>
      <c r="G4" s="1">
        <f>E4/$E$13</f>
        <v>0.16666666666666666</v>
      </c>
      <c r="H4" s="1">
        <f>G4</f>
        <v>0.16666666666666666</v>
      </c>
      <c r="I4" s="1">
        <f>G4*100</f>
        <v>16.666666666666664</v>
      </c>
      <c r="J4" s="1">
        <f>H4*100</f>
        <v>16.666666666666664</v>
      </c>
      <c r="K4" s="1"/>
      <c r="L4" t="s">
        <v>8</v>
      </c>
      <c r="M4">
        <f>MODE(valores)</f>
        <v>31</v>
      </c>
      <c r="P4" s="7" t="s">
        <v>27</v>
      </c>
      <c r="Q4" s="3" t="s">
        <v>1</v>
      </c>
    </row>
    <row r="5" spans="2:17" ht="18.75" x14ac:dyDescent="0.3">
      <c r="B5">
        <v>27</v>
      </c>
      <c r="D5" s="2">
        <v>28</v>
      </c>
      <c r="E5" s="2">
        <f>COUNTIF(valores,D5)</f>
        <v>2</v>
      </c>
      <c r="F5" s="2">
        <f>E5+F4</f>
        <v>7</v>
      </c>
      <c r="G5" s="1">
        <f t="shared" ref="G5:G12" si="0">E5/$E$13</f>
        <v>6.6666666666666666E-2</v>
      </c>
      <c r="H5" s="1">
        <f>G5+H4</f>
        <v>0.23333333333333334</v>
      </c>
      <c r="I5" s="1">
        <f t="shared" ref="I5:I13" si="1">G5*100</f>
        <v>6.666666666666667</v>
      </c>
      <c r="J5" s="1">
        <f t="shared" ref="J5:J12" si="2">H5*100</f>
        <v>23.333333333333332</v>
      </c>
      <c r="K5" s="1"/>
      <c r="L5" t="s">
        <v>9</v>
      </c>
      <c r="M5">
        <f>MEDIAN(valores)</f>
        <v>31</v>
      </c>
      <c r="P5" s="8">
        <v>27</v>
      </c>
      <c r="Q5" s="4">
        <f>COUNTIF(valores,P5)</f>
        <v>5</v>
      </c>
    </row>
    <row r="6" spans="2:17" ht="18.75" x14ac:dyDescent="0.3">
      <c r="B6">
        <v>28</v>
      </c>
      <c r="D6" s="2">
        <v>29</v>
      </c>
      <c r="E6" s="2">
        <f>COUNTIF(valores,D6)</f>
        <v>1</v>
      </c>
      <c r="F6" s="2">
        <f t="shared" ref="F6:F12" si="3">E6+F5</f>
        <v>8</v>
      </c>
      <c r="G6" s="1">
        <f t="shared" si="0"/>
        <v>3.3333333333333333E-2</v>
      </c>
      <c r="H6" s="1">
        <f t="shared" ref="H6:H12" si="4">G6+H5</f>
        <v>0.26666666666666666</v>
      </c>
      <c r="I6" s="1">
        <f t="shared" si="1"/>
        <v>3.3333333333333335</v>
      </c>
      <c r="J6" s="1">
        <f t="shared" si="2"/>
        <v>26.666666666666668</v>
      </c>
      <c r="K6" s="1"/>
      <c r="L6" t="s">
        <v>10</v>
      </c>
      <c r="M6" s="1">
        <f>AVERAGE(valores)</f>
        <v>30.766666666666666</v>
      </c>
      <c r="P6" s="9">
        <v>28</v>
      </c>
      <c r="Q6" s="5">
        <f>COUNTIF(valores,P6)</f>
        <v>2</v>
      </c>
    </row>
    <row r="7" spans="2:17" ht="18.75" x14ac:dyDescent="0.3">
      <c r="B7">
        <v>28</v>
      </c>
      <c r="D7" s="2">
        <v>30</v>
      </c>
      <c r="E7" s="2">
        <f>COUNTIF(valores,D7)</f>
        <v>4</v>
      </c>
      <c r="F7" s="2">
        <f t="shared" si="3"/>
        <v>12</v>
      </c>
      <c r="G7" s="1">
        <f t="shared" si="0"/>
        <v>0.13333333333333333</v>
      </c>
      <c r="H7" s="1">
        <f t="shared" si="4"/>
        <v>0.4</v>
      </c>
      <c r="I7" s="1">
        <f t="shared" si="1"/>
        <v>13.333333333333334</v>
      </c>
      <c r="J7" s="1">
        <f t="shared" si="2"/>
        <v>40</v>
      </c>
      <c r="K7" s="1"/>
      <c r="L7" t="s">
        <v>11</v>
      </c>
      <c r="M7" s="1">
        <f>GEOMEAN(valores)</f>
        <v>30.672731756182973</v>
      </c>
      <c r="P7" s="9">
        <v>29</v>
      </c>
      <c r="Q7" s="5">
        <f>COUNTIF(valores,P7)</f>
        <v>1</v>
      </c>
    </row>
    <row r="8" spans="2:17" ht="18.75" x14ac:dyDescent="0.3">
      <c r="B8">
        <v>29</v>
      </c>
      <c r="D8" s="2">
        <v>31</v>
      </c>
      <c r="E8" s="2">
        <f>COUNTIF(valores,D8)</f>
        <v>6</v>
      </c>
      <c r="F8" s="2">
        <f t="shared" si="3"/>
        <v>18</v>
      </c>
      <c r="G8" s="1">
        <f t="shared" si="0"/>
        <v>0.2</v>
      </c>
      <c r="H8" s="1">
        <f t="shared" si="4"/>
        <v>0.60000000000000009</v>
      </c>
      <c r="I8" s="1">
        <f t="shared" si="1"/>
        <v>20</v>
      </c>
      <c r="J8" s="1">
        <f t="shared" si="2"/>
        <v>60.000000000000007</v>
      </c>
      <c r="K8" s="1"/>
      <c r="P8" s="9">
        <v>30</v>
      </c>
      <c r="Q8" s="5">
        <f>COUNTIF(valores,P8)</f>
        <v>4</v>
      </c>
    </row>
    <row r="9" spans="2:17" ht="18.75" x14ac:dyDescent="0.3">
      <c r="B9">
        <v>30</v>
      </c>
      <c r="D9" s="2">
        <v>32</v>
      </c>
      <c r="E9" s="2">
        <f>COUNTIF(valores,D9)</f>
        <v>5</v>
      </c>
      <c r="F9" s="2">
        <f t="shared" si="3"/>
        <v>23</v>
      </c>
      <c r="G9" s="1">
        <f t="shared" si="0"/>
        <v>0.16666666666666666</v>
      </c>
      <c r="H9" s="1">
        <f t="shared" si="4"/>
        <v>0.76666666666666672</v>
      </c>
      <c r="I9" s="1">
        <f t="shared" si="1"/>
        <v>16.666666666666664</v>
      </c>
      <c r="J9" s="1">
        <f t="shared" si="2"/>
        <v>76.666666666666671</v>
      </c>
      <c r="K9" s="1"/>
      <c r="P9" s="9">
        <v>31</v>
      </c>
      <c r="Q9" s="5">
        <f>COUNTIF(valores,P9)</f>
        <v>6</v>
      </c>
    </row>
    <row r="10" spans="2:17" ht="18.75" x14ac:dyDescent="0.3">
      <c r="B10">
        <v>30</v>
      </c>
      <c r="D10" s="2">
        <v>33</v>
      </c>
      <c r="E10" s="2">
        <f>COUNTIF(valores,D10)</f>
        <v>3</v>
      </c>
      <c r="F10" s="2">
        <f t="shared" si="3"/>
        <v>26</v>
      </c>
      <c r="G10" s="1">
        <f t="shared" si="0"/>
        <v>0.1</v>
      </c>
      <c r="H10" s="1">
        <f t="shared" si="4"/>
        <v>0.8666666666666667</v>
      </c>
      <c r="I10" s="1">
        <f t="shared" si="1"/>
        <v>10</v>
      </c>
      <c r="J10" s="1">
        <f t="shared" si="2"/>
        <v>86.666666666666671</v>
      </c>
      <c r="K10" s="1"/>
      <c r="P10" s="9">
        <v>32</v>
      </c>
      <c r="Q10" s="5">
        <f>COUNTIF(valores,P10)</f>
        <v>5</v>
      </c>
    </row>
    <row r="11" spans="2:17" ht="18.75" x14ac:dyDescent="0.3">
      <c r="B11">
        <v>30</v>
      </c>
      <c r="D11" s="2">
        <v>34</v>
      </c>
      <c r="E11" s="2">
        <f>COUNTIF(valores,D11)</f>
        <v>2</v>
      </c>
      <c r="F11" s="2">
        <f t="shared" si="3"/>
        <v>28</v>
      </c>
      <c r="G11" s="1">
        <f>E11/$E$13</f>
        <v>6.6666666666666666E-2</v>
      </c>
      <c r="H11" s="1">
        <f t="shared" si="4"/>
        <v>0.93333333333333335</v>
      </c>
      <c r="I11" s="1">
        <f t="shared" si="1"/>
        <v>6.666666666666667</v>
      </c>
      <c r="J11" s="1">
        <f t="shared" si="2"/>
        <v>93.333333333333329</v>
      </c>
      <c r="K11" s="1"/>
      <c r="P11" s="9">
        <v>33</v>
      </c>
      <c r="Q11" s="5">
        <f>COUNTIF(valores,P11)</f>
        <v>3</v>
      </c>
    </row>
    <row r="12" spans="2:17" ht="18.75" x14ac:dyDescent="0.3">
      <c r="B12">
        <v>30</v>
      </c>
      <c r="D12" s="2">
        <v>35</v>
      </c>
      <c r="E12" s="2">
        <f>COUNTIF(valores,D12)</f>
        <v>2</v>
      </c>
      <c r="F12" s="2">
        <f t="shared" si="3"/>
        <v>30</v>
      </c>
      <c r="G12" s="1">
        <f>E12/$E$13</f>
        <v>6.6666666666666666E-2</v>
      </c>
      <c r="H12" s="1">
        <f t="shared" si="4"/>
        <v>1</v>
      </c>
      <c r="I12" s="1">
        <f t="shared" si="1"/>
        <v>6.666666666666667</v>
      </c>
      <c r="J12" s="1">
        <f t="shared" si="2"/>
        <v>100</v>
      </c>
      <c r="K12" s="1"/>
      <c r="P12" s="9">
        <v>34</v>
      </c>
      <c r="Q12" s="5">
        <f>COUNTIF(valores,P12)</f>
        <v>2</v>
      </c>
    </row>
    <row r="13" spans="2:17" ht="19.5" thickBot="1" x14ac:dyDescent="0.35">
      <c r="B13">
        <v>31</v>
      </c>
      <c r="D13" t="s">
        <v>2</v>
      </c>
      <c r="E13">
        <f>SUM(E4:E12)</f>
        <v>30</v>
      </c>
      <c r="G13" s="1">
        <f>SUM(G4:G12)</f>
        <v>1</v>
      </c>
      <c r="I13" s="1">
        <f t="shared" si="1"/>
        <v>100</v>
      </c>
      <c r="P13" s="10">
        <v>35</v>
      </c>
      <c r="Q13" s="6">
        <f>COUNTIF(valores,P13)</f>
        <v>2</v>
      </c>
    </row>
    <row r="14" spans="2:17" x14ac:dyDescent="0.25">
      <c r="B14">
        <v>31</v>
      </c>
    </row>
    <row r="15" spans="2:17" x14ac:dyDescent="0.25">
      <c r="B15">
        <v>31</v>
      </c>
    </row>
    <row r="16" spans="2:17" x14ac:dyDescent="0.25">
      <c r="B16">
        <v>31</v>
      </c>
    </row>
    <row r="17" spans="2:2" x14ac:dyDescent="0.25">
      <c r="B17">
        <v>31</v>
      </c>
    </row>
    <row r="18" spans="2:2" x14ac:dyDescent="0.25">
      <c r="B18">
        <v>31</v>
      </c>
    </row>
    <row r="19" spans="2:2" x14ac:dyDescent="0.25">
      <c r="B19">
        <v>32</v>
      </c>
    </row>
    <row r="20" spans="2:2" x14ac:dyDescent="0.25">
      <c r="B20">
        <v>32</v>
      </c>
    </row>
    <row r="21" spans="2:2" x14ac:dyDescent="0.25">
      <c r="B21">
        <v>32</v>
      </c>
    </row>
    <row r="22" spans="2:2" x14ac:dyDescent="0.25">
      <c r="B22">
        <v>32</v>
      </c>
    </row>
    <row r="23" spans="2:2" x14ac:dyDescent="0.25">
      <c r="B23">
        <v>32</v>
      </c>
    </row>
    <row r="24" spans="2:2" x14ac:dyDescent="0.25">
      <c r="B24">
        <v>33</v>
      </c>
    </row>
    <row r="25" spans="2:2" x14ac:dyDescent="0.25">
      <c r="B25">
        <v>33</v>
      </c>
    </row>
    <row r="26" spans="2:2" x14ac:dyDescent="0.25">
      <c r="B26">
        <v>33</v>
      </c>
    </row>
    <row r="27" spans="2:2" x14ac:dyDescent="0.25">
      <c r="B27">
        <v>34</v>
      </c>
    </row>
    <row r="28" spans="2:2" x14ac:dyDescent="0.25">
      <c r="B28">
        <v>34</v>
      </c>
    </row>
    <row r="29" spans="2:2" x14ac:dyDescent="0.25">
      <c r="B29">
        <v>35</v>
      </c>
    </row>
    <row r="30" spans="2:2" x14ac:dyDescent="0.25">
      <c r="B30">
        <v>35</v>
      </c>
    </row>
  </sheetData>
  <sortState xmlns:xlrd2="http://schemas.microsoft.com/office/spreadsheetml/2017/richdata2" ref="B1:B30">
    <sortCondition ref="B1"/>
  </sortState>
  <pageMargins left="0.7" right="0.7" top="0.75" bottom="0.75" header="0.3" footer="0.3"/>
  <pageSetup paperSize="9" orientation="portrait" r:id="rId1"/>
  <ignoredErrors>
    <ignoredError sqref="G4:G1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E9EB-AED8-463B-895E-635661AFA9E7}">
  <dimension ref="B1:P57"/>
  <sheetViews>
    <sheetView topLeftCell="A13" workbookViewId="0">
      <selection activeCell="O48" sqref="O48:P57"/>
    </sheetView>
  </sheetViews>
  <sheetFormatPr baseColWidth="10" defaultRowHeight="15" x14ac:dyDescent="0.25"/>
  <cols>
    <col min="15" max="15" width="4.140625" bestFit="1" customWidth="1"/>
    <col min="16" max="16" width="2.85546875" bestFit="1" customWidth="1"/>
  </cols>
  <sheetData>
    <row r="1" spans="2:13" x14ac:dyDescent="0.25">
      <c r="B1">
        <v>27</v>
      </c>
    </row>
    <row r="2" spans="2:13" x14ac:dyDescent="0.25">
      <c r="B2">
        <v>28</v>
      </c>
    </row>
    <row r="3" spans="2:13" x14ac:dyDescent="0.25">
      <c r="B3">
        <v>28</v>
      </c>
      <c r="D3" t="s">
        <v>0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2:13" x14ac:dyDescent="0.25">
      <c r="B4">
        <v>28</v>
      </c>
      <c r="D4" s="2">
        <v>27</v>
      </c>
      <c r="E4" s="2">
        <f>COUNTIF(Valores3,D4)</f>
        <v>1</v>
      </c>
      <c r="F4" s="2">
        <f>E4</f>
        <v>1</v>
      </c>
      <c r="G4" s="1">
        <f>E4/$E$13</f>
        <v>3.3333333333333333E-2</v>
      </c>
      <c r="H4" s="1">
        <f>G4</f>
        <v>3.3333333333333333E-2</v>
      </c>
      <c r="I4" s="1">
        <f>G4*100</f>
        <v>3.3333333333333335</v>
      </c>
      <c r="J4" s="1">
        <f>H4*100</f>
        <v>3.3333333333333335</v>
      </c>
      <c r="K4" s="1"/>
      <c r="L4" t="s">
        <v>8</v>
      </c>
      <c r="M4">
        <f>MODE(Valores3)</f>
        <v>30</v>
      </c>
    </row>
    <row r="5" spans="2:13" x14ac:dyDescent="0.25">
      <c r="B5">
        <v>29</v>
      </c>
      <c r="D5" s="2">
        <v>28</v>
      </c>
      <c r="E5" s="2">
        <f>COUNTIF(Valores3,D5)</f>
        <v>3</v>
      </c>
      <c r="F5" s="2">
        <f>E5+F4</f>
        <v>4</v>
      </c>
      <c r="G5" s="1">
        <f t="shared" ref="G5:G12" si="0">E5/$E$13</f>
        <v>0.1</v>
      </c>
      <c r="H5" s="1">
        <f>G5+H4</f>
        <v>0.13333333333333333</v>
      </c>
      <c r="I5" s="1">
        <f t="shared" ref="I5:J13" si="1">G5*100</f>
        <v>10</v>
      </c>
      <c r="J5" s="1">
        <f t="shared" si="1"/>
        <v>13.333333333333334</v>
      </c>
      <c r="K5" s="1"/>
      <c r="L5" t="s">
        <v>9</v>
      </c>
      <c r="M5">
        <f>MEDIAN(Valores3)</f>
        <v>31</v>
      </c>
    </row>
    <row r="6" spans="2:13" x14ac:dyDescent="0.25">
      <c r="B6">
        <v>29</v>
      </c>
      <c r="C6" s="1"/>
      <c r="D6" s="2">
        <v>29</v>
      </c>
      <c r="E6" s="2">
        <f>COUNTIF(Valores3,D6)</f>
        <v>4</v>
      </c>
      <c r="F6" s="2">
        <f t="shared" ref="F6:F12" si="2">E6+F5</f>
        <v>8</v>
      </c>
      <c r="G6" s="1">
        <f t="shared" si="0"/>
        <v>0.13333333333333333</v>
      </c>
      <c r="H6" s="1">
        <f t="shared" ref="H6:H12" si="3">G6+H5</f>
        <v>0.26666666666666666</v>
      </c>
      <c r="I6" s="1">
        <f t="shared" si="1"/>
        <v>13.333333333333334</v>
      </c>
      <c r="J6" s="1">
        <f t="shared" si="1"/>
        <v>26.666666666666668</v>
      </c>
      <c r="K6" s="1"/>
      <c r="L6" t="s">
        <v>10</v>
      </c>
      <c r="M6" s="1">
        <f>AVERAGE(Valores3)</f>
        <v>31.1</v>
      </c>
    </row>
    <row r="7" spans="2:13" x14ac:dyDescent="0.25">
      <c r="B7">
        <v>29</v>
      </c>
      <c r="C7" s="1"/>
      <c r="D7" s="2">
        <v>30</v>
      </c>
      <c r="E7" s="2">
        <f>COUNTIF(Valores3,D7)</f>
        <v>6</v>
      </c>
      <c r="F7" s="2">
        <f t="shared" si="2"/>
        <v>14</v>
      </c>
      <c r="G7" s="1">
        <f t="shared" si="0"/>
        <v>0.2</v>
      </c>
      <c r="H7" s="1">
        <f t="shared" si="3"/>
        <v>0.46666666666666667</v>
      </c>
      <c r="I7" s="1">
        <f t="shared" si="1"/>
        <v>20</v>
      </c>
      <c r="J7" s="1">
        <f t="shared" si="1"/>
        <v>46.666666666666664</v>
      </c>
      <c r="K7" s="1"/>
      <c r="L7" t="s">
        <v>11</v>
      </c>
      <c r="M7" s="1">
        <f>GEOMEAN(Valores3)</f>
        <v>31.01757871781885</v>
      </c>
    </row>
    <row r="8" spans="2:13" x14ac:dyDescent="0.25">
      <c r="B8">
        <v>29</v>
      </c>
      <c r="C8" s="1"/>
      <c r="D8" s="2">
        <v>31</v>
      </c>
      <c r="E8" s="2">
        <f>COUNTIF(Valores3,D8)</f>
        <v>4</v>
      </c>
      <c r="F8" s="2">
        <f t="shared" si="2"/>
        <v>18</v>
      </c>
      <c r="G8" s="1">
        <f t="shared" si="0"/>
        <v>0.13333333333333333</v>
      </c>
      <c r="H8" s="1">
        <f t="shared" si="3"/>
        <v>0.6</v>
      </c>
      <c r="I8" s="1">
        <f t="shared" si="1"/>
        <v>13.333333333333334</v>
      </c>
      <c r="J8" s="1">
        <f t="shared" si="1"/>
        <v>60</v>
      </c>
      <c r="K8" s="1"/>
    </row>
    <row r="9" spans="2:13" x14ac:dyDescent="0.25">
      <c r="B9">
        <v>30</v>
      </c>
      <c r="C9" s="1"/>
      <c r="D9" s="2">
        <v>32</v>
      </c>
      <c r="E9" s="2">
        <f>COUNTIF(Valores3,D9)</f>
        <v>3</v>
      </c>
      <c r="F9" s="2">
        <f t="shared" si="2"/>
        <v>21</v>
      </c>
      <c r="G9" s="1">
        <f t="shared" si="0"/>
        <v>0.1</v>
      </c>
      <c r="H9" s="1">
        <f t="shared" si="3"/>
        <v>0.7</v>
      </c>
      <c r="I9" s="1">
        <f t="shared" si="1"/>
        <v>10</v>
      </c>
      <c r="J9" s="1">
        <f t="shared" si="1"/>
        <v>70</v>
      </c>
      <c r="K9" s="1"/>
    </row>
    <row r="10" spans="2:13" x14ac:dyDescent="0.25">
      <c r="B10">
        <v>30</v>
      </c>
      <c r="C10" s="1"/>
      <c r="D10" s="2">
        <v>33</v>
      </c>
      <c r="E10" s="2">
        <f>COUNTIF(Valores3,D10)</f>
        <v>3</v>
      </c>
      <c r="F10" s="2">
        <f t="shared" si="2"/>
        <v>24</v>
      </c>
      <c r="G10" s="1">
        <f t="shared" si="0"/>
        <v>0.1</v>
      </c>
      <c r="H10" s="1">
        <f t="shared" si="3"/>
        <v>0.79999999999999993</v>
      </c>
      <c r="I10" s="1">
        <f t="shared" si="1"/>
        <v>10</v>
      </c>
      <c r="J10" s="1">
        <f t="shared" si="1"/>
        <v>80</v>
      </c>
      <c r="K10" s="1"/>
    </row>
    <row r="11" spans="2:13" x14ac:dyDescent="0.25">
      <c r="B11">
        <v>30</v>
      </c>
      <c r="C11" s="1"/>
      <c r="D11" s="2">
        <v>34</v>
      </c>
      <c r="E11" s="2">
        <f>COUNTIF(Valores3,D11)</f>
        <v>3</v>
      </c>
      <c r="F11" s="2">
        <f t="shared" si="2"/>
        <v>27</v>
      </c>
      <c r="G11" s="1">
        <f>E11/$E$13</f>
        <v>0.1</v>
      </c>
      <c r="H11" s="1">
        <f t="shared" si="3"/>
        <v>0.89999999999999991</v>
      </c>
      <c r="I11" s="1">
        <f t="shared" si="1"/>
        <v>10</v>
      </c>
      <c r="J11" s="1">
        <f t="shared" si="1"/>
        <v>89.999999999999986</v>
      </c>
      <c r="K11" s="1"/>
    </row>
    <row r="12" spans="2:13" x14ac:dyDescent="0.25">
      <c r="B12">
        <v>30</v>
      </c>
      <c r="C12" s="1"/>
      <c r="D12" s="2">
        <v>35</v>
      </c>
      <c r="E12" s="2">
        <f>COUNTIF(Valores3,D12)</f>
        <v>3</v>
      </c>
      <c r="F12" s="2">
        <f t="shared" si="2"/>
        <v>30</v>
      </c>
      <c r="G12" s="1">
        <f>E12/$E$13</f>
        <v>0.1</v>
      </c>
      <c r="H12" s="1">
        <f t="shared" si="3"/>
        <v>0.99999999999999989</v>
      </c>
      <c r="I12" s="1">
        <f t="shared" si="1"/>
        <v>10</v>
      </c>
      <c r="J12" s="1">
        <f t="shared" si="1"/>
        <v>99.999999999999986</v>
      </c>
      <c r="K12" s="1"/>
    </row>
    <row r="13" spans="2:13" x14ac:dyDescent="0.25">
      <c r="B13">
        <v>30</v>
      </c>
      <c r="C13" s="1"/>
      <c r="D13" t="s">
        <v>2</v>
      </c>
      <c r="E13">
        <f>SUM(E4:E12)</f>
        <v>30</v>
      </c>
      <c r="G13" s="1">
        <f>SUM(G4:G12)</f>
        <v>0.99999999999999989</v>
      </c>
      <c r="I13" s="1">
        <f t="shared" si="1"/>
        <v>99.999999999999986</v>
      </c>
    </row>
    <row r="14" spans="2:13" x14ac:dyDescent="0.25">
      <c r="B14">
        <v>30</v>
      </c>
      <c r="C14" s="1"/>
    </row>
    <row r="15" spans="2:13" x14ac:dyDescent="0.25">
      <c r="B15">
        <v>31</v>
      </c>
    </row>
    <row r="16" spans="2:13" x14ac:dyDescent="0.25">
      <c r="B16">
        <v>31</v>
      </c>
    </row>
    <row r="17" spans="2:2" x14ac:dyDescent="0.25">
      <c r="B17">
        <v>31</v>
      </c>
    </row>
    <row r="18" spans="2:2" x14ac:dyDescent="0.25">
      <c r="B18">
        <v>31</v>
      </c>
    </row>
    <row r="19" spans="2:2" x14ac:dyDescent="0.25">
      <c r="B19">
        <v>32</v>
      </c>
    </row>
    <row r="20" spans="2:2" x14ac:dyDescent="0.25">
      <c r="B20">
        <v>32</v>
      </c>
    </row>
    <row r="21" spans="2:2" x14ac:dyDescent="0.25">
      <c r="B21">
        <v>32</v>
      </c>
    </row>
    <row r="22" spans="2:2" x14ac:dyDescent="0.25">
      <c r="B22">
        <v>33</v>
      </c>
    </row>
    <row r="23" spans="2:2" x14ac:dyDescent="0.25">
      <c r="B23">
        <v>33</v>
      </c>
    </row>
    <row r="24" spans="2:2" x14ac:dyDescent="0.25">
      <c r="B24">
        <v>33</v>
      </c>
    </row>
    <row r="25" spans="2:2" x14ac:dyDescent="0.25">
      <c r="B25">
        <v>34</v>
      </c>
    </row>
    <row r="26" spans="2:2" x14ac:dyDescent="0.25">
      <c r="B26">
        <v>34</v>
      </c>
    </row>
    <row r="27" spans="2:2" x14ac:dyDescent="0.25">
      <c r="B27">
        <v>34</v>
      </c>
    </row>
    <row r="28" spans="2:2" x14ac:dyDescent="0.25">
      <c r="B28">
        <v>35</v>
      </c>
    </row>
    <row r="29" spans="2:2" x14ac:dyDescent="0.25">
      <c r="B29">
        <v>35</v>
      </c>
    </row>
    <row r="30" spans="2:2" x14ac:dyDescent="0.25">
      <c r="B30">
        <v>35</v>
      </c>
    </row>
    <row r="47" spans="15:16" ht="15.75" thickBot="1" x14ac:dyDescent="0.3"/>
    <row r="48" spans="15:16" ht="19.5" thickBot="1" x14ac:dyDescent="0.35">
      <c r="O48" s="7" t="s">
        <v>27</v>
      </c>
      <c r="P48" s="3" t="s">
        <v>1</v>
      </c>
    </row>
    <row r="49" spans="15:16" ht="18.75" x14ac:dyDescent="0.3">
      <c r="O49" s="8">
        <v>27</v>
      </c>
      <c r="P49" s="4">
        <f>COUNTIF(Valores3,O49)</f>
        <v>1</v>
      </c>
    </row>
    <row r="50" spans="15:16" ht="18.75" x14ac:dyDescent="0.3">
      <c r="O50" s="9">
        <v>28</v>
      </c>
      <c r="P50" s="5">
        <f>COUNTIF(Valores3,O50)</f>
        <v>3</v>
      </c>
    </row>
    <row r="51" spans="15:16" ht="18.75" x14ac:dyDescent="0.3">
      <c r="O51" s="9">
        <v>29</v>
      </c>
      <c r="P51" s="5">
        <f>COUNTIF(Valores3,O51)</f>
        <v>4</v>
      </c>
    </row>
    <row r="52" spans="15:16" ht="18.75" x14ac:dyDescent="0.3">
      <c r="O52" s="9">
        <v>30</v>
      </c>
      <c r="P52" s="5">
        <f>COUNTIF(Valores3,O52)</f>
        <v>6</v>
      </c>
    </row>
    <row r="53" spans="15:16" ht="18.75" x14ac:dyDescent="0.3">
      <c r="O53" s="9">
        <v>31</v>
      </c>
      <c r="P53" s="5">
        <f>COUNTIF(Valores3,O53)</f>
        <v>4</v>
      </c>
    </row>
    <row r="54" spans="15:16" ht="18.75" x14ac:dyDescent="0.3">
      <c r="O54" s="9">
        <v>32</v>
      </c>
      <c r="P54" s="5">
        <f>COUNTIF(Valores3,O54)</f>
        <v>3</v>
      </c>
    </row>
    <row r="55" spans="15:16" ht="18.75" x14ac:dyDescent="0.3">
      <c r="O55" s="9">
        <v>33</v>
      </c>
      <c r="P55" s="5">
        <f>COUNTIF(Valores3,O55)</f>
        <v>3</v>
      </c>
    </row>
    <row r="56" spans="15:16" ht="18.75" x14ac:dyDescent="0.3">
      <c r="O56" s="9">
        <v>34</v>
      </c>
      <c r="P56" s="5">
        <f>COUNTIF(Valores3,O56)</f>
        <v>3</v>
      </c>
    </row>
    <row r="57" spans="15:16" ht="19.5" thickBot="1" x14ac:dyDescent="0.35">
      <c r="O57" s="10">
        <v>35</v>
      </c>
      <c r="P57" s="6">
        <f>COUNTIF(Valores3,O57)</f>
        <v>3</v>
      </c>
    </row>
  </sheetData>
  <sortState xmlns:xlrd2="http://schemas.microsoft.com/office/spreadsheetml/2017/richdata2" ref="B1:B30">
    <sortCondition ref="B1"/>
  </sortState>
  <pageMargins left="0.7" right="0.7" top="0.75" bottom="0.75" header="0.3" footer="0.3"/>
  <ignoredErrors>
    <ignoredError sqref="G4:G12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E4AF-14D3-4C25-8FF2-0D9F612F0E85}">
  <dimension ref="A1:P58"/>
  <sheetViews>
    <sheetView topLeftCell="A16" workbookViewId="0">
      <selection activeCell="O49" sqref="O49:P58"/>
    </sheetView>
  </sheetViews>
  <sheetFormatPr baseColWidth="10" defaultRowHeight="15" x14ac:dyDescent="0.25"/>
  <cols>
    <col min="15" max="15" width="4.140625" bestFit="1" customWidth="1"/>
    <col min="16" max="16" width="2.85546875" bestFit="1" customWidth="1"/>
  </cols>
  <sheetData>
    <row r="1" spans="1:12" x14ac:dyDescent="0.25">
      <c r="A1">
        <v>27</v>
      </c>
    </row>
    <row r="2" spans="1:12" x14ac:dyDescent="0.25">
      <c r="A2">
        <v>27</v>
      </c>
    </row>
    <row r="3" spans="1:12" x14ac:dyDescent="0.25">
      <c r="A3">
        <v>27</v>
      </c>
      <c r="C3" t="s">
        <v>0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12" x14ac:dyDescent="0.25">
      <c r="A4">
        <v>27</v>
      </c>
      <c r="C4" s="2">
        <v>27</v>
      </c>
      <c r="D4" s="2">
        <f>COUNTIF(valores4,C4)</f>
        <v>6</v>
      </c>
      <c r="E4" s="2">
        <f>D4</f>
        <v>6</v>
      </c>
      <c r="F4" s="1">
        <f>D4/$D$13</f>
        <v>0.2</v>
      </c>
      <c r="G4" s="1">
        <f>F4</f>
        <v>0.2</v>
      </c>
      <c r="H4" s="1">
        <f>F4*100</f>
        <v>20</v>
      </c>
      <c r="I4" s="1">
        <f>G4*100</f>
        <v>20</v>
      </c>
      <c r="J4" s="1"/>
      <c r="K4" t="s">
        <v>8</v>
      </c>
      <c r="L4">
        <f>MODE(valores)</f>
        <v>31</v>
      </c>
    </row>
    <row r="5" spans="1:12" x14ac:dyDescent="0.25">
      <c r="A5">
        <v>27</v>
      </c>
      <c r="C5" s="2">
        <v>28</v>
      </c>
      <c r="D5" s="2">
        <f>COUNTIF(valores4,C5)</f>
        <v>1</v>
      </c>
      <c r="E5" s="2">
        <f>D5+E4</f>
        <v>7</v>
      </c>
      <c r="F5" s="1">
        <f t="shared" ref="F5:F12" si="0">D5/$D$13</f>
        <v>3.3333333333333333E-2</v>
      </c>
      <c r="G5" s="1">
        <f>F5+G4</f>
        <v>0.23333333333333334</v>
      </c>
      <c r="H5" s="1">
        <f t="shared" ref="H5:I13" si="1">F5*100</f>
        <v>3.3333333333333335</v>
      </c>
      <c r="I5" s="1">
        <f t="shared" si="1"/>
        <v>23.333333333333332</v>
      </c>
      <c r="J5" s="1"/>
      <c r="K5" t="s">
        <v>9</v>
      </c>
      <c r="L5">
        <f>MEDIAN(valores)</f>
        <v>31</v>
      </c>
    </row>
    <row r="6" spans="1:12" x14ac:dyDescent="0.25">
      <c r="A6">
        <v>27</v>
      </c>
      <c r="C6" s="2">
        <v>29</v>
      </c>
      <c r="D6" s="2">
        <f>COUNTIF(valores4,C6)</f>
        <v>2</v>
      </c>
      <c r="E6" s="2">
        <f t="shared" ref="E6:E12" si="2">D6+E5</f>
        <v>9</v>
      </c>
      <c r="F6" s="1">
        <f t="shared" si="0"/>
        <v>6.6666666666666666E-2</v>
      </c>
      <c r="G6" s="1">
        <f t="shared" ref="G6:G12" si="3">F6+G5</f>
        <v>0.3</v>
      </c>
      <c r="H6" s="1">
        <f t="shared" si="1"/>
        <v>6.666666666666667</v>
      </c>
      <c r="I6" s="1">
        <f t="shared" si="1"/>
        <v>30</v>
      </c>
      <c r="J6" s="1"/>
      <c r="K6" t="s">
        <v>10</v>
      </c>
      <c r="L6" s="1">
        <f>AVERAGE(valores)</f>
        <v>30.766666666666666</v>
      </c>
    </row>
    <row r="7" spans="1:12" x14ac:dyDescent="0.25">
      <c r="A7">
        <v>28</v>
      </c>
      <c r="C7" s="2">
        <v>30</v>
      </c>
      <c r="D7" s="2">
        <f>COUNTIF(valores4,C7)</f>
        <v>3</v>
      </c>
      <c r="E7" s="2">
        <f t="shared" si="2"/>
        <v>12</v>
      </c>
      <c r="F7" s="1">
        <f t="shared" si="0"/>
        <v>0.1</v>
      </c>
      <c r="G7" s="1">
        <f t="shared" si="3"/>
        <v>0.4</v>
      </c>
      <c r="H7" s="1">
        <f t="shared" si="1"/>
        <v>10</v>
      </c>
      <c r="I7" s="1">
        <f t="shared" si="1"/>
        <v>40</v>
      </c>
      <c r="J7" s="1"/>
      <c r="K7" t="s">
        <v>11</v>
      </c>
      <c r="L7" s="1">
        <f>GEOMEAN(valores)</f>
        <v>30.672731756182973</v>
      </c>
    </row>
    <row r="8" spans="1:12" x14ac:dyDescent="0.25">
      <c r="A8">
        <v>29</v>
      </c>
      <c r="C8" s="2">
        <v>31</v>
      </c>
      <c r="D8" s="2">
        <f>COUNTIF(valores4,C8)</f>
        <v>4</v>
      </c>
      <c r="E8" s="2">
        <f t="shared" si="2"/>
        <v>16</v>
      </c>
      <c r="F8" s="1">
        <f t="shared" si="0"/>
        <v>0.13333333333333333</v>
      </c>
      <c r="G8" s="1">
        <f t="shared" si="3"/>
        <v>0.53333333333333333</v>
      </c>
      <c r="H8" s="1">
        <f t="shared" si="1"/>
        <v>13.333333333333334</v>
      </c>
      <c r="I8" s="1">
        <f t="shared" si="1"/>
        <v>53.333333333333336</v>
      </c>
      <c r="J8" s="1"/>
    </row>
    <row r="9" spans="1:12" x14ac:dyDescent="0.25">
      <c r="A9">
        <v>29</v>
      </c>
      <c r="C9" s="2">
        <v>32</v>
      </c>
      <c r="D9" s="2">
        <f>COUNTIF(valores4,C9)</f>
        <v>6</v>
      </c>
      <c r="E9" s="2">
        <f t="shared" si="2"/>
        <v>22</v>
      </c>
      <c r="F9" s="1">
        <f t="shared" si="0"/>
        <v>0.2</v>
      </c>
      <c r="G9" s="1">
        <f t="shared" si="3"/>
        <v>0.73333333333333339</v>
      </c>
      <c r="H9" s="1">
        <f t="shared" si="1"/>
        <v>20</v>
      </c>
      <c r="I9" s="1">
        <f t="shared" si="1"/>
        <v>73.333333333333343</v>
      </c>
      <c r="J9" s="1"/>
    </row>
    <row r="10" spans="1:12" x14ac:dyDescent="0.25">
      <c r="A10">
        <v>30</v>
      </c>
      <c r="C10" s="2">
        <v>33</v>
      </c>
      <c r="D10" s="2">
        <f>COUNTIF(valores4,C10)</f>
        <v>3</v>
      </c>
      <c r="E10" s="2">
        <f t="shared" si="2"/>
        <v>25</v>
      </c>
      <c r="F10" s="1">
        <f t="shared" si="0"/>
        <v>0.1</v>
      </c>
      <c r="G10" s="1">
        <f t="shared" si="3"/>
        <v>0.83333333333333337</v>
      </c>
      <c r="H10" s="1">
        <f t="shared" si="1"/>
        <v>10</v>
      </c>
      <c r="I10" s="1">
        <f t="shared" si="1"/>
        <v>83.333333333333343</v>
      </c>
      <c r="J10" s="1"/>
    </row>
    <row r="11" spans="1:12" x14ac:dyDescent="0.25">
      <c r="A11">
        <v>30</v>
      </c>
      <c r="C11" s="2">
        <v>34</v>
      </c>
      <c r="D11" s="2">
        <f>COUNTIF(valores4,C11)</f>
        <v>1</v>
      </c>
      <c r="E11" s="2">
        <f t="shared" si="2"/>
        <v>26</v>
      </c>
      <c r="F11" s="1">
        <f t="shared" si="0"/>
        <v>3.3333333333333333E-2</v>
      </c>
      <c r="G11" s="1">
        <f t="shared" si="3"/>
        <v>0.8666666666666667</v>
      </c>
      <c r="H11" s="1">
        <f t="shared" si="1"/>
        <v>3.3333333333333335</v>
      </c>
      <c r="I11" s="1">
        <f t="shared" si="1"/>
        <v>86.666666666666671</v>
      </c>
      <c r="J11" s="1"/>
    </row>
    <row r="12" spans="1:12" x14ac:dyDescent="0.25">
      <c r="A12">
        <v>30</v>
      </c>
      <c r="C12" s="2">
        <v>35</v>
      </c>
      <c r="D12" s="2">
        <f>COUNTIF(valores4,C12)</f>
        <v>4</v>
      </c>
      <c r="E12" s="2">
        <f t="shared" si="2"/>
        <v>30</v>
      </c>
      <c r="F12" s="1">
        <f t="shared" si="0"/>
        <v>0.13333333333333333</v>
      </c>
      <c r="G12" s="1">
        <f t="shared" si="3"/>
        <v>1</v>
      </c>
      <c r="H12" s="1">
        <f t="shared" si="1"/>
        <v>13.333333333333334</v>
      </c>
      <c r="I12" s="1">
        <f t="shared" si="1"/>
        <v>100</v>
      </c>
      <c r="J12" s="1"/>
    </row>
    <row r="13" spans="1:12" x14ac:dyDescent="0.25">
      <c r="A13">
        <v>31</v>
      </c>
      <c r="C13" t="s">
        <v>2</v>
      </c>
      <c r="D13">
        <f>SUM(D4:D12)</f>
        <v>30</v>
      </c>
      <c r="F13" s="1">
        <f>SUM(F4:F12)</f>
        <v>1</v>
      </c>
      <c r="H13" s="1">
        <f t="shared" si="1"/>
        <v>100</v>
      </c>
    </row>
    <row r="14" spans="1:12" x14ac:dyDescent="0.25">
      <c r="A14">
        <v>31</v>
      </c>
    </row>
    <row r="15" spans="1:12" x14ac:dyDescent="0.25">
      <c r="A15">
        <v>31</v>
      </c>
    </row>
    <row r="16" spans="1:12" x14ac:dyDescent="0.25">
      <c r="A16">
        <v>31</v>
      </c>
    </row>
    <row r="17" spans="1:1" x14ac:dyDescent="0.25">
      <c r="A17">
        <v>32</v>
      </c>
    </row>
    <row r="18" spans="1:1" x14ac:dyDescent="0.25">
      <c r="A18">
        <v>32</v>
      </c>
    </row>
    <row r="19" spans="1:1" x14ac:dyDescent="0.25">
      <c r="A19">
        <v>32</v>
      </c>
    </row>
    <row r="20" spans="1:1" x14ac:dyDescent="0.25">
      <c r="A20">
        <v>32</v>
      </c>
    </row>
    <row r="21" spans="1:1" x14ac:dyDescent="0.25">
      <c r="A21">
        <v>32</v>
      </c>
    </row>
    <row r="22" spans="1:1" x14ac:dyDescent="0.25">
      <c r="A22">
        <v>32</v>
      </c>
    </row>
    <row r="23" spans="1:1" x14ac:dyDescent="0.25">
      <c r="A23">
        <v>33</v>
      </c>
    </row>
    <row r="24" spans="1:1" x14ac:dyDescent="0.25">
      <c r="A24">
        <v>33</v>
      </c>
    </row>
    <row r="25" spans="1:1" x14ac:dyDescent="0.25">
      <c r="A25">
        <v>33</v>
      </c>
    </row>
    <row r="26" spans="1:1" x14ac:dyDescent="0.25">
      <c r="A26">
        <v>34</v>
      </c>
    </row>
    <row r="27" spans="1:1" x14ac:dyDescent="0.25">
      <c r="A27">
        <v>35</v>
      </c>
    </row>
    <row r="28" spans="1:1" x14ac:dyDescent="0.25">
      <c r="A28">
        <v>35</v>
      </c>
    </row>
    <row r="29" spans="1:1" x14ac:dyDescent="0.25">
      <c r="A29">
        <v>35</v>
      </c>
    </row>
    <row r="30" spans="1:1" x14ac:dyDescent="0.25">
      <c r="A30">
        <v>35</v>
      </c>
    </row>
    <row r="48" ht="15.75" thickBot="1" x14ac:dyDescent="0.3"/>
    <row r="49" spans="15:16" ht="19.5" thickBot="1" x14ac:dyDescent="0.35">
      <c r="O49" s="7" t="s">
        <v>27</v>
      </c>
      <c r="P49" s="3" t="s">
        <v>1</v>
      </c>
    </row>
    <row r="50" spans="15:16" ht="18.75" x14ac:dyDescent="0.3">
      <c r="O50" s="8">
        <v>27</v>
      </c>
      <c r="P50" s="4">
        <f>COUNTIF(valores4,O50)</f>
        <v>6</v>
      </c>
    </row>
    <row r="51" spans="15:16" ht="18.75" x14ac:dyDescent="0.3">
      <c r="O51" s="9">
        <v>28</v>
      </c>
      <c r="P51" s="5">
        <f>COUNTIF(valores4,O51)</f>
        <v>1</v>
      </c>
    </row>
    <row r="52" spans="15:16" ht="18.75" x14ac:dyDescent="0.3">
      <c r="O52" s="9">
        <v>29</v>
      </c>
      <c r="P52" s="5">
        <f>COUNTIF(valores4,O52)</f>
        <v>2</v>
      </c>
    </row>
    <row r="53" spans="15:16" ht="18.75" x14ac:dyDescent="0.3">
      <c r="O53" s="9">
        <v>30</v>
      </c>
      <c r="P53" s="5">
        <f>COUNTIF(valores4,O53)</f>
        <v>3</v>
      </c>
    </row>
    <row r="54" spans="15:16" ht="18.75" x14ac:dyDescent="0.3">
      <c r="O54" s="9">
        <v>31</v>
      </c>
      <c r="P54" s="5">
        <f>COUNTIF(valores4,O54)</f>
        <v>4</v>
      </c>
    </row>
    <row r="55" spans="15:16" ht="18.75" x14ac:dyDescent="0.3">
      <c r="O55" s="9">
        <v>32</v>
      </c>
      <c r="P55" s="5">
        <f>COUNTIF(valores4,O55)</f>
        <v>6</v>
      </c>
    </row>
    <row r="56" spans="15:16" ht="18.75" x14ac:dyDescent="0.3">
      <c r="O56" s="9">
        <v>33</v>
      </c>
      <c r="P56" s="5">
        <f>COUNTIF(valores4,O56)</f>
        <v>3</v>
      </c>
    </row>
    <row r="57" spans="15:16" ht="18.75" x14ac:dyDescent="0.3">
      <c r="O57" s="9">
        <v>34</v>
      </c>
      <c r="P57" s="5">
        <f>COUNTIF(valores4,O57)</f>
        <v>1</v>
      </c>
    </row>
    <row r="58" spans="15:16" ht="19.5" thickBot="1" x14ac:dyDescent="0.35">
      <c r="O58" s="10">
        <v>35</v>
      </c>
      <c r="P58" s="6">
        <f>COUNTIF(valores4,O58)</f>
        <v>4</v>
      </c>
    </row>
  </sheetData>
  <sortState xmlns:xlrd2="http://schemas.microsoft.com/office/spreadsheetml/2017/richdata2" ref="A1:A30">
    <sortCondition ref="A1"/>
  </sortState>
  <pageMargins left="0.7" right="0.7" top="0.75" bottom="0.75" header="0.3" footer="0.3"/>
  <ignoredErrors>
    <ignoredError sqref="F4:F12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6D72-A2FC-4D87-BB39-666A1002ED12}">
  <dimension ref="A1:K65"/>
  <sheetViews>
    <sheetView tabSelected="1" workbookViewId="0">
      <selection activeCell="J3" sqref="J3:K10"/>
    </sheetView>
  </sheetViews>
  <sheetFormatPr baseColWidth="10" defaultRowHeight="15" x14ac:dyDescent="0.25"/>
  <cols>
    <col min="3" max="3" width="12.42578125" bestFit="1" customWidth="1"/>
    <col min="10" max="10" width="5.5703125" bestFit="1" customWidth="1"/>
    <col min="11" max="11" width="4.140625" bestFit="1" customWidth="1"/>
  </cols>
  <sheetData>
    <row r="1" spans="1:11" x14ac:dyDescent="0.25">
      <c r="A1">
        <v>50</v>
      </c>
    </row>
    <row r="2" spans="1:11" ht="15.75" thickBot="1" x14ac:dyDescent="0.3">
      <c r="A2">
        <v>50</v>
      </c>
    </row>
    <row r="3" spans="1:11" ht="19.5" thickBot="1" x14ac:dyDescent="0.35">
      <c r="A3">
        <v>52</v>
      </c>
      <c r="C3" t="s">
        <v>0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7" t="s">
        <v>27</v>
      </c>
      <c r="K3" s="3" t="s">
        <v>1</v>
      </c>
    </row>
    <row r="4" spans="1:11" ht="18.75" x14ac:dyDescent="0.3">
      <c r="A4">
        <v>53</v>
      </c>
      <c r="C4" s="2" t="s">
        <v>13</v>
      </c>
      <c r="D4" s="2">
        <f>COUNTIFS(valores1,"&lt;60",valores1,"&gt;=50")</f>
        <v>6</v>
      </c>
      <c r="E4" s="2">
        <f>D4</f>
        <v>6</v>
      </c>
      <c r="F4" s="1">
        <f>D4/$D$11</f>
        <v>9.2307692307692313E-2</v>
      </c>
      <c r="G4" s="1">
        <f>F4</f>
        <v>9.2307692307692313E-2</v>
      </c>
      <c r="H4" s="1">
        <f>F4*100</f>
        <v>9.2307692307692317</v>
      </c>
      <c r="I4" s="1">
        <f>G4*100</f>
        <v>9.2307692307692317</v>
      </c>
      <c r="J4" s="11">
        <v>55</v>
      </c>
      <c r="K4" s="4">
        <f>COUNTIFS(valores1,"&lt;60",valores1,"&gt;=50")</f>
        <v>6</v>
      </c>
    </row>
    <row r="5" spans="1:11" ht="18.75" x14ac:dyDescent="0.3">
      <c r="A5">
        <v>55</v>
      </c>
      <c r="C5" s="2" t="s">
        <v>16</v>
      </c>
      <c r="D5" s="2">
        <f>COUNTIFS(valores1,"&lt;70",valores1,"&gt;=60")</f>
        <v>12</v>
      </c>
      <c r="E5" s="2">
        <f>D5+E4</f>
        <v>18</v>
      </c>
      <c r="F5" s="1">
        <f t="shared" ref="F5:F10" si="0">D5/$D$11</f>
        <v>0.18461538461538463</v>
      </c>
      <c r="G5" s="1">
        <f>F5+G4</f>
        <v>0.27692307692307694</v>
      </c>
      <c r="H5" s="1">
        <f t="shared" ref="H5:I13" si="1">F5*100</f>
        <v>18.461538461538463</v>
      </c>
      <c r="I5" s="1">
        <f t="shared" si="1"/>
        <v>27.692307692307693</v>
      </c>
      <c r="J5" s="12">
        <v>65</v>
      </c>
      <c r="K5" s="5">
        <f>COUNTIFS(valores1,"&lt;70",valores1,"&gt;=60")</f>
        <v>12</v>
      </c>
    </row>
    <row r="6" spans="1:11" ht="18.75" x14ac:dyDescent="0.3">
      <c r="A6">
        <v>59</v>
      </c>
      <c r="C6" s="2" t="s">
        <v>14</v>
      </c>
      <c r="D6" s="2">
        <f>COUNTIFS(valores1,"&lt;80",valores1,"&gt;=70")</f>
        <v>2</v>
      </c>
      <c r="E6" s="2">
        <f t="shared" ref="E6:E12" si="2">D6+E5</f>
        <v>20</v>
      </c>
      <c r="F6" s="1">
        <f t="shared" si="0"/>
        <v>3.0769230769230771E-2</v>
      </c>
      <c r="G6" s="1">
        <f t="shared" ref="G6:G12" si="3">F6+G5</f>
        <v>0.30769230769230771</v>
      </c>
      <c r="H6" s="1">
        <f t="shared" si="1"/>
        <v>3.0769230769230771</v>
      </c>
      <c r="I6" s="1">
        <f t="shared" si="1"/>
        <v>30.76923076923077</v>
      </c>
      <c r="J6" s="12">
        <v>75</v>
      </c>
      <c r="K6" s="5">
        <f>COUNTIFS(valores1,"&lt;80",valores1,"&gt;=70")</f>
        <v>2</v>
      </c>
    </row>
    <row r="7" spans="1:11" ht="18.75" x14ac:dyDescent="0.3">
      <c r="A7">
        <v>60</v>
      </c>
      <c r="C7" s="2" t="s">
        <v>17</v>
      </c>
      <c r="D7" s="2">
        <f>COUNTIFS(valores1,"&lt;90",valores1,"&gt;=80")</f>
        <v>9</v>
      </c>
      <c r="E7" s="2">
        <f t="shared" si="2"/>
        <v>29</v>
      </c>
      <c r="F7" s="1">
        <f t="shared" si="0"/>
        <v>0.13846153846153847</v>
      </c>
      <c r="G7" s="1">
        <f t="shared" si="3"/>
        <v>0.44615384615384618</v>
      </c>
      <c r="H7" s="1">
        <f t="shared" si="1"/>
        <v>13.846153846153847</v>
      </c>
      <c r="I7" s="1">
        <f t="shared" si="1"/>
        <v>44.61538461538462</v>
      </c>
      <c r="J7" s="12">
        <v>85</v>
      </c>
      <c r="K7" s="5">
        <f>COUNTIFS(valores1,"&lt;90",valores1,"&gt;=80")</f>
        <v>9</v>
      </c>
    </row>
    <row r="8" spans="1:11" ht="18.75" x14ac:dyDescent="0.3">
      <c r="A8">
        <v>60</v>
      </c>
      <c r="C8" s="2" t="s">
        <v>15</v>
      </c>
      <c r="D8" s="2">
        <f>COUNTIFS(valores1,"&lt;100",valores1,"&gt;=90")</f>
        <v>10</v>
      </c>
      <c r="E8" s="2">
        <f t="shared" si="2"/>
        <v>39</v>
      </c>
      <c r="F8" s="1">
        <f t="shared" si="0"/>
        <v>0.15384615384615385</v>
      </c>
      <c r="G8" s="1">
        <f t="shared" si="3"/>
        <v>0.60000000000000009</v>
      </c>
      <c r="H8" s="1">
        <f t="shared" si="1"/>
        <v>15.384615384615385</v>
      </c>
      <c r="I8" s="1">
        <f t="shared" si="1"/>
        <v>60.000000000000007</v>
      </c>
      <c r="J8" s="12">
        <v>95</v>
      </c>
      <c r="K8" s="5">
        <f>COUNTIFS(valores1,"&lt;100",valores1,"&gt;=90")</f>
        <v>10</v>
      </c>
    </row>
    <row r="9" spans="1:11" ht="18.75" x14ac:dyDescent="0.3">
      <c r="A9">
        <v>62</v>
      </c>
      <c r="C9" s="2" t="s">
        <v>18</v>
      </c>
      <c r="D9" s="2">
        <f>COUNTIFS(valores1,"&lt;110",valores1,"&gt;=100")</f>
        <v>15</v>
      </c>
      <c r="E9" s="2">
        <f t="shared" si="2"/>
        <v>54</v>
      </c>
      <c r="F9" s="1">
        <f t="shared" si="0"/>
        <v>0.23076923076923078</v>
      </c>
      <c r="G9" s="1">
        <f t="shared" si="3"/>
        <v>0.83076923076923093</v>
      </c>
      <c r="H9" s="1">
        <f t="shared" si="1"/>
        <v>23.076923076923077</v>
      </c>
      <c r="I9" s="1">
        <f t="shared" si="1"/>
        <v>83.076923076923094</v>
      </c>
      <c r="J9" s="12">
        <v>105</v>
      </c>
      <c r="K9" s="5">
        <f>COUNTIFS(valores1,"&lt;110",valores1,"&gt;=100")</f>
        <v>15</v>
      </c>
    </row>
    <row r="10" spans="1:11" ht="19.5" thickBot="1" x14ac:dyDescent="0.35">
      <c r="A10">
        <v>63</v>
      </c>
      <c r="C10" s="2" t="s">
        <v>19</v>
      </c>
      <c r="D10" s="2">
        <f>COUNTIFS(valores1,"&lt;=120",valores1,"&gt;=110")</f>
        <v>11</v>
      </c>
      <c r="E10" s="2">
        <f t="shared" si="2"/>
        <v>65</v>
      </c>
      <c r="F10" s="1">
        <f t="shared" si="0"/>
        <v>0.16923076923076924</v>
      </c>
      <c r="G10" s="1">
        <f t="shared" si="3"/>
        <v>1.0000000000000002</v>
      </c>
      <c r="H10" s="1">
        <f t="shared" si="1"/>
        <v>16.923076923076923</v>
      </c>
      <c r="I10" s="1">
        <f t="shared" si="1"/>
        <v>100.00000000000003</v>
      </c>
      <c r="J10" s="13">
        <v>115</v>
      </c>
      <c r="K10" s="6">
        <f>COUNTIFS(valores1,"&lt;=120",valores1,"&gt;=110")</f>
        <v>11</v>
      </c>
    </row>
    <row r="11" spans="1:11" x14ac:dyDescent="0.25">
      <c r="A11">
        <v>64</v>
      </c>
      <c r="C11" t="s">
        <v>2</v>
      </c>
      <c r="D11" s="2">
        <f>SUM(D4:D10)</f>
        <v>65</v>
      </c>
      <c r="F11" s="1">
        <f>SUM(F4:F10)</f>
        <v>1.0000000000000002</v>
      </c>
      <c r="H11" s="1">
        <f>F11*100</f>
        <v>100.00000000000003</v>
      </c>
      <c r="I11" s="1"/>
    </row>
    <row r="12" spans="1:11" x14ac:dyDescent="0.25">
      <c r="A12">
        <v>64</v>
      </c>
      <c r="C12" s="2"/>
      <c r="D12" s="2"/>
      <c r="E12" s="2"/>
      <c r="F12" s="1"/>
      <c r="G12" s="1"/>
      <c r="H12" s="1"/>
      <c r="I12" s="1"/>
    </row>
    <row r="13" spans="1:11" x14ac:dyDescent="0.25">
      <c r="A13">
        <v>65</v>
      </c>
    </row>
    <row r="14" spans="1:11" x14ac:dyDescent="0.25">
      <c r="A14">
        <v>65</v>
      </c>
    </row>
    <row r="15" spans="1:11" x14ac:dyDescent="0.25">
      <c r="A15">
        <v>65</v>
      </c>
      <c r="D15" s="2"/>
      <c r="E15" s="1"/>
    </row>
    <row r="16" spans="1:11" x14ac:dyDescent="0.25">
      <c r="A16">
        <v>66</v>
      </c>
      <c r="D16" s="2"/>
      <c r="E16" s="1"/>
    </row>
    <row r="17" spans="1:5" x14ac:dyDescent="0.25">
      <c r="A17">
        <v>67</v>
      </c>
      <c r="D17" s="2"/>
      <c r="E17" s="1"/>
    </row>
    <row r="18" spans="1:5" x14ac:dyDescent="0.25">
      <c r="A18">
        <v>68</v>
      </c>
      <c r="D18" s="2"/>
      <c r="E18" s="1"/>
    </row>
    <row r="19" spans="1:5" x14ac:dyDescent="0.25">
      <c r="A19">
        <v>75</v>
      </c>
      <c r="D19" s="2"/>
      <c r="E19" s="1"/>
    </row>
    <row r="20" spans="1:5" x14ac:dyDescent="0.25">
      <c r="A20">
        <v>76</v>
      </c>
      <c r="D20" s="2"/>
      <c r="E20" s="1"/>
    </row>
    <row r="21" spans="1:5" x14ac:dyDescent="0.25">
      <c r="A21">
        <v>81</v>
      </c>
      <c r="D21" s="2"/>
      <c r="E21" s="1"/>
    </row>
    <row r="22" spans="1:5" x14ac:dyDescent="0.25">
      <c r="A22">
        <v>82</v>
      </c>
    </row>
    <row r="23" spans="1:5" x14ac:dyDescent="0.25">
      <c r="A23">
        <v>82</v>
      </c>
    </row>
    <row r="24" spans="1:5" x14ac:dyDescent="0.25">
      <c r="A24">
        <v>84</v>
      </c>
    </row>
    <row r="25" spans="1:5" x14ac:dyDescent="0.25">
      <c r="A25">
        <v>84</v>
      </c>
    </row>
    <row r="26" spans="1:5" x14ac:dyDescent="0.25">
      <c r="A26">
        <v>84</v>
      </c>
    </row>
    <row r="27" spans="1:5" x14ac:dyDescent="0.25">
      <c r="A27">
        <v>86</v>
      </c>
    </row>
    <row r="28" spans="1:5" x14ac:dyDescent="0.25">
      <c r="A28">
        <v>87</v>
      </c>
    </row>
    <row r="29" spans="1:5" x14ac:dyDescent="0.25">
      <c r="A29">
        <v>87</v>
      </c>
    </row>
    <row r="30" spans="1:5" x14ac:dyDescent="0.25">
      <c r="A30">
        <v>91</v>
      </c>
    </row>
    <row r="31" spans="1:5" x14ac:dyDescent="0.25">
      <c r="A31">
        <v>91</v>
      </c>
    </row>
    <row r="32" spans="1:5" x14ac:dyDescent="0.25">
      <c r="A32">
        <v>93</v>
      </c>
    </row>
    <row r="33" spans="1:1" x14ac:dyDescent="0.25">
      <c r="A33">
        <v>93</v>
      </c>
    </row>
    <row r="34" spans="1:1" x14ac:dyDescent="0.25">
      <c r="A34">
        <v>95</v>
      </c>
    </row>
    <row r="35" spans="1:1" x14ac:dyDescent="0.25">
      <c r="A35">
        <v>95</v>
      </c>
    </row>
    <row r="36" spans="1:1" x14ac:dyDescent="0.25">
      <c r="A36">
        <v>95</v>
      </c>
    </row>
    <row r="37" spans="1:1" x14ac:dyDescent="0.25">
      <c r="A37">
        <v>96</v>
      </c>
    </row>
    <row r="38" spans="1:1" x14ac:dyDescent="0.25">
      <c r="A38">
        <v>96</v>
      </c>
    </row>
    <row r="39" spans="1:1" x14ac:dyDescent="0.25">
      <c r="A39">
        <v>97</v>
      </c>
    </row>
    <row r="40" spans="1:1" x14ac:dyDescent="0.25">
      <c r="A40">
        <v>100</v>
      </c>
    </row>
    <row r="41" spans="1:1" x14ac:dyDescent="0.25">
      <c r="A41">
        <v>102</v>
      </c>
    </row>
    <row r="42" spans="1:1" x14ac:dyDescent="0.25">
      <c r="A42">
        <v>102</v>
      </c>
    </row>
    <row r="43" spans="1:1" x14ac:dyDescent="0.25">
      <c r="A43">
        <v>104</v>
      </c>
    </row>
    <row r="44" spans="1:1" x14ac:dyDescent="0.25">
      <c r="A44">
        <v>105</v>
      </c>
    </row>
    <row r="45" spans="1:1" x14ac:dyDescent="0.25">
      <c r="A45">
        <v>106</v>
      </c>
    </row>
    <row r="46" spans="1:1" x14ac:dyDescent="0.25">
      <c r="A46">
        <v>106</v>
      </c>
    </row>
    <row r="47" spans="1:1" x14ac:dyDescent="0.25">
      <c r="A47">
        <v>106</v>
      </c>
    </row>
    <row r="48" spans="1:1" x14ac:dyDescent="0.25">
      <c r="A48">
        <v>106</v>
      </c>
    </row>
    <row r="49" spans="1:1" x14ac:dyDescent="0.25">
      <c r="A49">
        <v>107</v>
      </c>
    </row>
    <row r="50" spans="1:1" x14ac:dyDescent="0.25">
      <c r="A50">
        <v>108</v>
      </c>
    </row>
    <row r="51" spans="1:1" x14ac:dyDescent="0.25">
      <c r="A51">
        <v>108</v>
      </c>
    </row>
    <row r="52" spans="1:1" x14ac:dyDescent="0.25">
      <c r="A52">
        <v>108</v>
      </c>
    </row>
    <row r="53" spans="1:1" x14ac:dyDescent="0.25">
      <c r="A53">
        <v>109</v>
      </c>
    </row>
    <row r="54" spans="1:1" x14ac:dyDescent="0.25">
      <c r="A54">
        <v>109</v>
      </c>
    </row>
    <row r="55" spans="1:1" x14ac:dyDescent="0.25">
      <c r="A55">
        <v>110</v>
      </c>
    </row>
    <row r="56" spans="1:1" x14ac:dyDescent="0.25">
      <c r="A56">
        <v>113</v>
      </c>
    </row>
    <row r="57" spans="1:1" x14ac:dyDescent="0.25">
      <c r="A57">
        <v>113</v>
      </c>
    </row>
    <row r="58" spans="1:1" x14ac:dyDescent="0.25">
      <c r="A58">
        <v>114</v>
      </c>
    </row>
    <row r="59" spans="1:1" x14ac:dyDescent="0.25">
      <c r="A59">
        <v>114</v>
      </c>
    </row>
    <row r="60" spans="1:1" x14ac:dyDescent="0.25">
      <c r="A60">
        <v>118</v>
      </c>
    </row>
    <row r="61" spans="1:1" x14ac:dyDescent="0.25">
      <c r="A61">
        <v>119</v>
      </c>
    </row>
    <row r="62" spans="1:1" x14ac:dyDescent="0.25">
      <c r="A62">
        <v>119</v>
      </c>
    </row>
    <row r="63" spans="1:1" x14ac:dyDescent="0.25">
      <c r="A63">
        <v>119</v>
      </c>
    </row>
    <row r="64" spans="1:1" x14ac:dyDescent="0.25">
      <c r="A64">
        <v>119</v>
      </c>
    </row>
    <row r="65" spans="1:1" x14ac:dyDescent="0.25">
      <c r="A65">
        <v>120</v>
      </c>
    </row>
  </sheetData>
  <pageMargins left="0.7" right="0.7" top="0.75" bottom="0.75" header="0.3" footer="0.3"/>
  <ignoredErrors>
    <ignoredError sqref="F4:F10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A5B8-522E-4271-8F55-35B2113B3811}">
  <dimension ref="A1:J65"/>
  <sheetViews>
    <sheetView topLeftCell="A10" workbookViewId="0">
      <selection activeCell="J12" sqref="J12"/>
    </sheetView>
  </sheetViews>
  <sheetFormatPr baseColWidth="10" defaultRowHeight="15" x14ac:dyDescent="0.25"/>
  <sheetData>
    <row r="1" spans="1:10" x14ac:dyDescent="0.25">
      <c r="A1">
        <v>50</v>
      </c>
    </row>
    <row r="2" spans="1:10" x14ac:dyDescent="0.25">
      <c r="A2">
        <v>51</v>
      </c>
    </row>
    <row r="3" spans="1:10" x14ac:dyDescent="0.25">
      <c r="A3">
        <v>51</v>
      </c>
      <c r="C3" t="s">
        <v>0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27</v>
      </c>
    </row>
    <row r="4" spans="1:10" x14ac:dyDescent="0.25">
      <c r="A4">
        <v>52</v>
      </c>
      <c r="C4" s="2" t="s">
        <v>13</v>
      </c>
      <c r="D4" s="2">
        <f>COUNTIFS(valores5,"&lt;60",valores5,"&gt;=50")</f>
        <v>12</v>
      </c>
      <c r="E4" s="2">
        <f>D4</f>
        <v>12</v>
      </c>
      <c r="F4" s="1">
        <f>D4/$D$11</f>
        <v>0.18461538461538463</v>
      </c>
      <c r="G4" s="1">
        <f>F4</f>
        <v>0.18461538461538463</v>
      </c>
      <c r="H4" s="1">
        <f>F4*100</f>
        <v>18.461538461538463</v>
      </c>
      <c r="I4" s="1">
        <f>G4*100</f>
        <v>18.461538461538463</v>
      </c>
      <c r="J4">
        <v>55</v>
      </c>
    </row>
    <row r="5" spans="1:10" x14ac:dyDescent="0.25">
      <c r="A5">
        <v>53</v>
      </c>
      <c r="C5" s="2" t="s">
        <v>16</v>
      </c>
      <c r="D5" s="2">
        <f>COUNTIFS(valores5,"&lt;70",valores5,"&gt;=60")</f>
        <v>6</v>
      </c>
      <c r="E5" s="2">
        <f>D5+E4</f>
        <v>18</v>
      </c>
      <c r="F5" s="1">
        <f t="shared" ref="F5:F10" si="0">D5/$D$11</f>
        <v>9.2307692307692313E-2</v>
      </c>
      <c r="G5" s="1">
        <f>F5+G4</f>
        <v>0.27692307692307694</v>
      </c>
      <c r="H5" s="1">
        <f t="shared" ref="H5:I11" si="1">F5*100</f>
        <v>9.2307692307692317</v>
      </c>
      <c r="I5" s="1">
        <f t="shared" si="1"/>
        <v>27.692307692307693</v>
      </c>
      <c r="J5">
        <v>65</v>
      </c>
    </row>
    <row r="6" spans="1:10" x14ac:dyDescent="0.25">
      <c r="A6">
        <v>53</v>
      </c>
      <c r="C6" s="2" t="s">
        <v>14</v>
      </c>
      <c r="D6" s="2">
        <f>COUNTIFS(valores5,"&lt;80",valores5,"&gt;=70")</f>
        <v>7</v>
      </c>
      <c r="E6" s="2">
        <f t="shared" ref="E6:E10" si="2">D6+E5</f>
        <v>25</v>
      </c>
      <c r="F6" s="1">
        <f t="shared" si="0"/>
        <v>0.1076923076923077</v>
      </c>
      <c r="G6" s="1">
        <f t="shared" ref="G6:G10" si="3">F6+G5</f>
        <v>0.38461538461538464</v>
      </c>
      <c r="H6" s="1">
        <f t="shared" si="1"/>
        <v>10.76923076923077</v>
      </c>
      <c r="I6" s="1">
        <f t="shared" si="1"/>
        <v>38.461538461538467</v>
      </c>
      <c r="J6">
        <v>75</v>
      </c>
    </row>
    <row r="7" spans="1:10" x14ac:dyDescent="0.25">
      <c r="A7">
        <v>54</v>
      </c>
      <c r="C7" s="2" t="s">
        <v>17</v>
      </c>
      <c r="D7" s="2">
        <f>COUNTIFS(valores5,"&lt;90",valores5,"&gt;=80")</f>
        <v>13</v>
      </c>
      <c r="E7" s="2">
        <f t="shared" si="2"/>
        <v>38</v>
      </c>
      <c r="F7" s="1">
        <f t="shared" si="0"/>
        <v>0.2</v>
      </c>
      <c r="G7" s="1">
        <f t="shared" si="3"/>
        <v>0.58461538461538465</v>
      </c>
      <c r="H7" s="1">
        <f t="shared" si="1"/>
        <v>20</v>
      </c>
      <c r="I7" s="1">
        <f t="shared" si="1"/>
        <v>58.461538461538467</v>
      </c>
      <c r="J7">
        <v>85</v>
      </c>
    </row>
    <row r="8" spans="1:10" x14ac:dyDescent="0.25">
      <c r="A8">
        <v>54</v>
      </c>
      <c r="C8" s="2" t="s">
        <v>15</v>
      </c>
      <c r="D8" s="2">
        <f>COUNTIFS(valores5,"&lt;100",valores5,"&gt;=90")</f>
        <v>7</v>
      </c>
      <c r="E8" s="2">
        <f t="shared" si="2"/>
        <v>45</v>
      </c>
      <c r="F8" s="1">
        <f t="shared" si="0"/>
        <v>0.1076923076923077</v>
      </c>
      <c r="G8" s="1">
        <f t="shared" si="3"/>
        <v>0.69230769230769229</v>
      </c>
      <c r="H8" s="1">
        <f t="shared" si="1"/>
        <v>10.76923076923077</v>
      </c>
      <c r="I8" s="1">
        <f t="shared" si="1"/>
        <v>69.230769230769226</v>
      </c>
      <c r="J8">
        <v>95</v>
      </c>
    </row>
    <row r="9" spans="1:10" x14ac:dyDescent="0.25">
      <c r="A9">
        <v>55</v>
      </c>
      <c r="C9" s="2" t="s">
        <v>18</v>
      </c>
      <c r="D9" s="2">
        <f>COUNTIFS(valores5,"&lt;110",valores5,"&gt;=100")</f>
        <v>11</v>
      </c>
      <c r="E9" s="2">
        <f t="shared" si="2"/>
        <v>56</v>
      </c>
      <c r="F9" s="1">
        <f t="shared" si="0"/>
        <v>0.16923076923076924</v>
      </c>
      <c r="G9" s="1">
        <f t="shared" si="3"/>
        <v>0.86153846153846159</v>
      </c>
      <c r="H9" s="1">
        <f t="shared" si="1"/>
        <v>16.923076923076923</v>
      </c>
      <c r="I9" s="1">
        <f t="shared" si="1"/>
        <v>86.15384615384616</v>
      </c>
      <c r="J9">
        <v>105</v>
      </c>
    </row>
    <row r="10" spans="1:10" x14ac:dyDescent="0.25">
      <c r="A10">
        <v>55</v>
      </c>
      <c r="C10" s="2" t="s">
        <v>19</v>
      </c>
      <c r="D10" s="2">
        <f>COUNTIFS(valores5,"&lt;=120",valores5,"&gt;=110")</f>
        <v>9</v>
      </c>
      <c r="E10" s="2">
        <f t="shared" si="2"/>
        <v>65</v>
      </c>
      <c r="F10" s="1">
        <f t="shared" si="0"/>
        <v>0.13846153846153847</v>
      </c>
      <c r="G10" s="1">
        <f t="shared" si="3"/>
        <v>1</v>
      </c>
      <c r="H10" s="1">
        <f t="shared" si="1"/>
        <v>13.846153846153847</v>
      </c>
      <c r="I10" s="1">
        <f t="shared" si="1"/>
        <v>100</v>
      </c>
      <c r="J10">
        <v>115</v>
      </c>
    </row>
    <row r="11" spans="1:10" x14ac:dyDescent="0.25">
      <c r="A11">
        <v>57</v>
      </c>
      <c r="C11" t="s">
        <v>2</v>
      </c>
      <c r="D11" s="2">
        <f>SUM(D4:D10)</f>
        <v>65</v>
      </c>
      <c r="F11" s="1">
        <f>SUM(F4:F10)</f>
        <v>1</v>
      </c>
      <c r="H11" s="1">
        <f>F11*100</f>
        <v>100</v>
      </c>
      <c r="I11" s="1"/>
    </row>
    <row r="12" spans="1:10" x14ac:dyDescent="0.25">
      <c r="A12">
        <v>58</v>
      </c>
    </row>
    <row r="13" spans="1:10" x14ac:dyDescent="0.25">
      <c r="A13">
        <v>60</v>
      </c>
    </row>
    <row r="14" spans="1:10" x14ac:dyDescent="0.25">
      <c r="A14">
        <v>60</v>
      </c>
    </row>
    <row r="15" spans="1:10" x14ac:dyDescent="0.25">
      <c r="A15">
        <v>62</v>
      </c>
    </row>
    <row r="16" spans="1:10" x14ac:dyDescent="0.25">
      <c r="A16">
        <v>64</v>
      </c>
    </row>
    <row r="17" spans="1:1" x14ac:dyDescent="0.25">
      <c r="A17">
        <v>65</v>
      </c>
    </row>
    <row r="18" spans="1:1" x14ac:dyDescent="0.25">
      <c r="A18">
        <v>68</v>
      </c>
    </row>
    <row r="19" spans="1:1" x14ac:dyDescent="0.25">
      <c r="A19">
        <v>70</v>
      </c>
    </row>
    <row r="20" spans="1:1" x14ac:dyDescent="0.25">
      <c r="A20">
        <v>72</v>
      </c>
    </row>
    <row r="21" spans="1:1" x14ac:dyDescent="0.25">
      <c r="A21">
        <v>73</v>
      </c>
    </row>
    <row r="22" spans="1:1" x14ac:dyDescent="0.25">
      <c r="A22">
        <v>73</v>
      </c>
    </row>
    <row r="23" spans="1:1" x14ac:dyDescent="0.25">
      <c r="A23">
        <v>75</v>
      </c>
    </row>
    <row r="24" spans="1:1" x14ac:dyDescent="0.25">
      <c r="A24">
        <v>78</v>
      </c>
    </row>
    <row r="25" spans="1:1" x14ac:dyDescent="0.25">
      <c r="A25">
        <v>79</v>
      </c>
    </row>
    <row r="26" spans="1:1" x14ac:dyDescent="0.25">
      <c r="A26">
        <v>81</v>
      </c>
    </row>
    <row r="27" spans="1:1" x14ac:dyDescent="0.25">
      <c r="A27">
        <v>82</v>
      </c>
    </row>
    <row r="28" spans="1:1" x14ac:dyDescent="0.25">
      <c r="A28">
        <v>82</v>
      </c>
    </row>
    <row r="29" spans="1:1" x14ac:dyDescent="0.25">
      <c r="A29">
        <v>82</v>
      </c>
    </row>
    <row r="30" spans="1:1" x14ac:dyDescent="0.25">
      <c r="A30">
        <v>83</v>
      </c>
    </row>
    <row r="31" spans="1:1" x14ac:dyDescent="0.25">
      <c r="A31">
        <v>83</v>
      </c>
    </row>
    <row r="32" spans="1:1" x14ac:dyDescent="0.25">
      <c r="A32">
        <v>84</v>
      </c>
    </row>
    <row r="33" spans="1:1" x14ac:dyDescent="0.25">
      <c r="A33">
        <v>85</v>
      </c>
    </row>
    <row r="34" spans="1:1" x14ac:dyDescent="0.25">
      <c r="A34">
        <v>85</v>
      </c>
    </row>
    <row r="35" spans="1:1" x14ac:dyDescent="0.25">
      <c r="A35">
        <v>85</v>
      </c>
    </row>
    <row r="36" spans="1:1" x14ac:dyDescent="0.25">
      <c r="A36">
        <v>87</v>
      </c>
    </row>
    <row r="37" spans="1:1" x14ac:dyDescent="0.25">
      <c r="A37">
        <v>87</v>
      </c>
    </row>
    <row r="38" spans="1:1" x14ac:dyDescent="0.25">
      <c r="A38">
        <v>89</v>
      </c>
    </row>
    <row r="39" spans="1:1" x14ac:dyDescent="0.25">
      <c r="A39">
        <v>90</v>
      </c>
    </row>
    <row r="40" spans="1:1" x14ac:dyDescent="0.25">
      <c r="A40">
        <v>94</v>
      </c>
    </row>
    <row r="41" spans="1:1" x14ac:dyDescent="0.25">
      <c r="A41">
        <v>94</v>
      </c>
    </row>
    <row r="42" spans="1:1" x14ac:dyDescent="0.25">
      <c r="A42">
        <v>95</v>
      </c>
    </row>
    <row r="43" spans="1:1" x14ac:dyDescent="0.25">
      <c r="A43">
        <v>97</v>
      </c>
    </row>
    <row r="44" spans="1:1" x14ac:dyDescent="0.25">
      <c r="A44">
        <v>98</v>
      </c>
    </row>
    <row r="45" spans="1:1" x14ac:dyDescent="0.25">
      <c r="A45">
        <v>99</v>
      </c>
    </row>
    <row r="46" spans="1:1" x14ac:dyDescent="0.25">
      <c r="A46">
        <v>101</v>
      </c>
    </row>
    <row r="47" spans="1:1" x14ac:dyDescent="0.25">
      <c r="A47">
        <v>102</v>
      </c>
    </row>
    <row r="48" spans="1:1" x14ac:dyDescent="0.25">
      <c r="A48">
        <v>102</v>
      </c>
    </row>
    <row r="49" spans="1:1" x14ac:dyDescent="0.25">
      <c r="A49">
        <v>103</v>
      </c>
    </row>
    <row r="50" spans="1:1" x14ac:dyDescent="0.25">
      <c r="A50">
        <v>104</v>
      </c>
    </row>
    <row r="51" spans="1:1" x14ac:dyDescent="0.25">
      <c r="A51">
        <v>105</v>
      </c>
    </row>
    <row r="52" spans="1:1" x14ac:dyDescent="0.25">
      <c r="A52">
        <v>106</v>
      </c>
    </row>
    <row r="53" spans="1:1" x14ac:dyDescent="0.25">
      <c r="A53">
        <v>107</v>
      </c>
    </row>
    <row r="54" spans="1:1" x14ac:dyDescent="0.25">
      <c r="A54">
        <v>107</v>
      </c>
    </row>
    <row r="55" spans="1:1" x14ac:dyDescent="0.25">
      <c r="A55">
        <v>107</v>
      </c>
    </row>
    <row r="56" spans="1:1" x14ac:dyDescent="0.25">
      <c r="A56">
        <v>109</v>
      </c>
    </row>
    <row r="57" spans="1:1" x14ac:dyDescent="0.25">
      <c r="A57">
        <v>111</v>
      </c>
    </row>
    <row r="58" spans="1:1" x14ac:dyDescent="0.25">
      <c r="A58">
        <v>112</v>
      </c>
    </row>
    <row r="59" spans="1:1" x14ac:dyDescent="0.25">
      <c r="A59">
        <v>114</v>
      </c>
    </row>
    <row r="60" spans="1:1" x14ac:dyDescent="0.25">
      <c r="A60">
        <v>115</v>
      </c>
    </row>
    <row r="61" spans="1:1" x14ac:dyDescent="0.25">
      <c r="A61">
        <v>116</v>
      </c>
    </row>
    <row r="62" spans="1:1" x14ac:dyDescent="0.25">
      <c r="A62">
        <v>117</v>
      </c>
    </row>
    <row r="63" spans="1:1" x14ac:dyDescent="0.25">
      <c r="A63">
        <v>117</v>
      </c>
    </row>
    <row r="64" spans="1:1" x14ac:dyDescent="0.25">
      <c r="A64">
        <v>118</v>
      </c>
    </row>
    <row r="65" spans="1:1" x14ac:dyDescent="0.25">
      <c r="A65">
        <v>120</v>
      </c>
    </row>
  </sheetData>
  <sortState xmlns:xlrd2="http://schemas.microsoft.com/office/spreadsheetml/2017/richdata2" ref="A1:A65">
    <sortCondition ref="A1"/>
  </sortState>
  <pageMargins left="0.7" right="0.7" top="0.75" bottom="0.75" header="0.3" footer="0.3"/>
  <ignoredErrors>
    <ignoredError sqref="F4:F10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1921-CCE4-4767-85E7-EFC7C2B72500}">
  <dimension ref="A1:J20"/>
  <sheetViews>
    <sheetView topLeftCell="A4" workbookViewId="0">
      <selection activeCell="J12" sqref="J12"/>
    </sheetView>
  </sheetViews>
  <sheetFormatPr baseColWidth="10" defaultRowHeight="15" x14ac:dyDescent="0.25"/>
  <cols>
    <col min="4" max="4" width="11.85546875" bestFit="1" customWidth="1"/>
  </cols>
  <sheetData>
    <row r="1" spans="1:10" x14ac:dyDescent="0.25">
      <c r="A1">
        <v>3</v>
      </c>
    </row>
    <row r="2" spans="1:10" x14ac:dyDescent="0.25">
      <c r="A2">
        <v>5</v>
      </c>
      <c r="C2" t="s">
        <v>0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27</v>
      </c>
    </row>
    <row r="3" spans="1:10" x14ac:dyDescent="0.25">
      <c r="A3">
        <v>6</v>
      </c>
      <c r="C3" s="2" t="s">
        <v>20</v>
      </c>
      <c r="D3" s="2">
        <f>COUNTIFS(valores6,"&lt;7",valores6,"&gt;=2")</f>
        <v>3</v>
      </c>
      <c r="E3" s="2">
        <f>D3</f>
        <v>3</v>
      </c>
      <c r="F3" s="1">
        <f>D3/$D$10</f>
        <v>0.15</v>
      </c>
      <c r="G3" s="1">
        <f>F3</f>
        <v>0.15</v>
      </c>
      <c r="H3" s="1">
        <f>F3*100</f>
        <v>15</v>
      </c>
      <c r="I3" s="1">
        <f>G3*100</f>
        <v>15</v>
      </c>
      <c r="J3">
        <v>4.5</v>
      </c>
    </row>
    <row r="4" spans="1:10" x14ac:dyDescent="0.25">
      <c r="A4">
        <v>7</v>
      </c>
      <c r="C4" s="2" t="s">
        <v>26</v>
      </c>
      <c r="D4" s="2">
        <f>COUNTIFS(valores6,"&lt;12",valores6,"&gt;=7")</f>
        <v>5</v>
      </c>
      <c r="E4" s="2">
        <f>D4+E3</f>
        <v>8</v>
      </c>
      <c r="F4" s="1">
        <f t="shared" ref="F4:F9" si="0">D4/$D$10</f>
        <v>0.25</v>
      </c>
      <c r="G4" s="1">
        <f>F4+G3</f>
        <v>0.4</v>
      </c>
      <c r="H4" s="1">
        <f t="shared" ref="H4:I10" si="1">F4*100</f>
        <v>25</v>
      </c>
      <c r="I4" s="1">
        <f t="shared" si="1"/>
        <v>40</v>
      </c>
      <c r="J4">
        <v>9.5</v>
      </c>
    </row>
    <row r="5" spans="1:10" x14ac:dyDescent="0.25">
      <c r="A5">
        <v>8</v>
      </c>
      <c r="C5" s="2" t="s">
        <v>21</v>
      </c>
      <c r="D5" s="2">
        <f>COUNTIFS(valores6,"&lt;17",valores6,"&gt;=12")</f>
        <v>1</v>
      </c>
      <c r="E5" s="2">
        <f t="shared" ref="E5:E9" si="2">D5+E4</f>
        <v>9</v>
      </c>
      <c r="F5" s="1">
        <f t="shared" si="0"/>
        <v>0.05</v>
      </c>
      <c r="G5" s="1">
        <f t="shared" ref="G5:G9" si="3">F5+G4</f>
        <v>0.45</v>
      </c>
      <c r="H5" s="1">
        <f t="shared" si="1"/>
        <v>5</v>
      </c>
      <c r="I5" s="1">
        <f t="shared" si="1"/>
        <v>45</v>
      </c>
      <c r="J5">
        <v>14.5</v>
      </c>
    </row>
    <row r="6" spans="1:10" x14ac:dyDescent="0.25">
      <c r="A6">
        <v>8</v>
      </c>
      <c r="C6" s="2" t="s">
        <v>22</v>
      </c>
      <c r="D6" s="2">
        <f>COUNTIFS(valores6,"&lt;22",valores6,"&gt;=17")</f>
        <v>1</v>
      </c>
      <c r="E6" s="2">
        <f t="shared" si="2"/>
        <v>10</v>
      </c>
      <c r="F6" s="1">
        <f t="shared" si="0"/>
        <v>0.05</v>
      </c>
      <c r="G6" s="1">
        <f t="shared" si="3"/>
        <v>0.5</v>
      </c>
      <c r="H6" s="1">
        <f t="shared" si="1"/>
        <v>5</v>
      </c>
      <c r="I6" s="1">
        <f t="shared" si="1"/>
        <v>50</v>
      </c>
      <c r="J6">
        <v>19.5</v>
      </c>
    </row>
    <row r="7" spans="1:10" x14ac:dyDescent="0.25">
      <c r="A7">
        <v>8</v>
      </c>
      <c r="C7" s="2" t="s">
        <v>23</v>
      </c>
      <c r="D7" s="2">
        <f>COUNTIFS(valores6,"&lt;27",valores6,"&gt;=22")</f>
        <v>3</v>
      </c>
      <c r="E7" s="2">
        <f t="shared" si="2"/>
        <v>13</v>
      </c>
      <c r="F7" s="1">
        <f t="shared" si="0"/>
        <v>0.15</v>
      </c>
      <c r="G7" s="1">
        <f t="shared" si="3"/>
        <v>0.65</v>
      </c>
      <c r="H7" s="1">
        <f t="shared" si="1"/>
        <v>15</v>
      </c>
      <c r="I7" s="1">
        <f t="shared" si="1"/>
        <v>65</v>
      </c>
      <c r="J7">
        <v>24.5</v>
      </c>
    </row>
    <row r="8" spans="1:10" x14ac:dyDescent="0.25">
      <c r="A8">
        <v>10</v>
      </c>
      <c r="C8" s="2" t="s">
        <v>24</v>
      </c>
      <c r="D8" s="2">
        <f>COUNTIFS(valores6,"&lt;32",valores6,"&gt;=27")</f>
        <v>3</v>
      </c>
      <c r="E8" s="2">
        <f t="shared" si="2"/>
        <v>16</v>
      </c>
      <c r="F8" s="1">
        <f t="shared" si="0"/>
        <v>0.15</v>
      </c>
      <c r="G8" s="1">
        <f t="shared" si="3"/>
        <v>0.8</v>
      </c>
      <c r="H8" s="1">
        <f t="shared" si="1"/>
        <v>15</v>
      </c>
      <c r="I8" s="1">
        <f t="shared" si="1"/>
        <v>80</v>
      </c>
      <c r="J8">
        <v>25.5</v>
      </c>
    </row>
    <row r="9" spans="1:10" x14ac:dyDescent="0.25">
      <c r="A9">
        <v>15</v>
      </c>
      <c r="C9" s="2" t="s">
        <v>25</v>
      </c>
      <c r="D9" s="2">
        <f>COUNTIFS(valores6,"&lt;=37",valores6,"&gt;=32")</f>
        <v>4</v>
      </c>
      <c r="E9" s="2">
        <f t="shared" si="2"/>
        <v>20</v>
      </c>
      <c r="F9" s="1">
        <f t="shared" si="0"/>
        <v>0.2</v>
      </c>
      <c r="G9" s="1">
        <f t="shared" si="3"/>
        <v>1</v>
      </c>
      <c r="H9" s="1">
        <f t="shared" si="1"/>
        <v>20</v>
      </c>
      <c r="I9" s="1">
        <f t="shared" si="1"/>
        <v>100</v>
      </c>
      <c r="J9">
        <v>30.5</v>
      </c>
    </row>
    <row r="10" spans="1:10" x14ac:dyDescent="0.25">
      <c r="A10">
        <v>21</v>
      </c>
      <c r="C10" t="s">
        <v>2</v>
      </c>
      <c r="D10" s="2">
        <f>SUM(D3:D9)</f>
        <v>20</v>
      </c>
      <c r="F10" s="1">
        <f>SUM(F3:F9)</f>
        <v>1</v>
      </c>
      <c r="H10" s="1">
        <f>F10*100</f>
        <v>100</v>
      </c>
      <c r="I10" s="1"/>
    </row>
    <row r="11" spans="1:10" x14ac:dyDescent="0.25">
      <c r="A11">
        <v>23</v>
      </c>
    </row>
    <row r="12" spans="1:10" x14ac:dyDescent="0.25">
      <c r="A12">
        <v>24</v>
      </c>
    </row>
    <row r="13" spans="1:10" x14ac:dyDescent="0.25">
      <c r="A13">
        <v>24</v>
      </c>
    </row>
    <row r="14" spans="1:10" x14ac:dyDescent="0.25">
      <c r="A14">
        <v>27</v>
      </c>
    </row>
    <row r="15" spans="1:10" x14ac:dyDescent="0.25">
      <c r="A15">
        <v>31</v>
      </c>
    </row>
    <row r="16" spans="1:10" x14ac:dyDescent="0.25">
      <c r="A16">
        <v>31</v>
      </c>
    </row>
    <row r="17" spans="1:1" x14ac:dyDescent="0.25">
      <c r="A17">
        <v>33</v>
      </c>
    </row>
    <row r="18" spans="1:1" x14ac:dyDescent="0.25">
      <c r="A18">
        <v>35</v>
      </c>
    </row>
    <row r="19" spans="1:1" x14ac:dyDescent="0.25">
      <c r="A19">
        <v>35</v>
      </c>
    </row>
    <row r="20" spans="1:1" x14ac:dyDescent="0.25">
      <c r="A20">
        <v>37</v>
      </c>
    </row>
  </sheetData>
  <sortState xmlns:xlrd2="http://schemas.microsoft.com/office/spreadsheetml/2017/richdata2" ref="A1:A20">
    <sortCondition ref="A20"/>
  </sortState>
  <pageMargins left="0.7" right="0.7" top="0.75" bottom="0.75" header="0.3" footer="0.3"/>
  <ignoredErrors>
    <ignoredError sqref="F3:F9" formula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25B2-6AE9-483F-BE47-3AA2847E1352}">
  <dimension ref="A1:K20"/>
  <sheetViews>
    <sheetView topLeftCell="A28" workbookViewId="0">
      <selection activeCell="M8" sqref="M8"/>
    </sheetView>
  </sheetViews>
  <sheetFormatPr baseColWidth="10" defaultRowHeight="15" x14ac:dyDescent="0.25"/>
  <sheetData>
    <row r="1" spans="1:11" x14ac:dyDescent="0.25">
      <c r="A1">
        <f ca="1">RANDBETWEEN(2,37)</f>
        <v>18</v>
      </c>
      <c r="B1">
        <v>2</v>
      </c>
    </row>
    <row r="2" spans="1:11" x14ac:dyDescent="0.25">
      <c r="A2">
        <f t="shared" ref="A2:A20" ca="1" si="0">RANDBETWEEN(2,37)</f>
        <v>31</v>
      </c>
      <c r="B2">
        <v>4</v>
      </c>
      <c r="D2" t="s">
        <v>0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27</v>
      </c>
    </row>
    <row r="3" spans="1:11" x14ac:dyDescent="0.25">
      <c r="A3">
        <f t="shared" ca="1" si="0"/>
        <v>13</v>
      </c>
      <c r="B3">
        <v>4</v>
      </c>
      <c r="D3" s="2" t="s">
        <v>20</v>
      </c>
      <c r="E3" s="2">
        <f>COUNTIFS(valores7,"&lt;7",valores7,"&gt;=2")</f>
        <v>4</v>
      </c>
      <c r="F3" s="2">
        <f>E3</f>
        <v>4</v>
      </c>
      <c r="G3" s="1">
        <f>E3/$E$10</f>
        <v>0.2</v>
      </c>
      <c r="H3" s="1">
        <f>G3</f>
        <v>0.2</v>
      </c>
      <c r="I3" s="1">
        <f>G3*100</f>
        <v>20</v>
      </c>
      <c r="J3" s="1">
        <f>H3*100</f>
        <v>20</v>
      </c>
      <c r="K3">
        <v>4.5</v>
      </c>
    </row>
    <row r="4" spans="1:11" x14ac:dyDescent="0.25">
      <c r="A4">
        <f t="shared" ca="1" si="0"/>
        <v>35</v>
      </c>
      <c r="B4">
        <v>5</v>
      </c>
      <c r="D4" s="2" t="s">
        <v>26</v>
      </c>
      <c r="E4" s="2">
        <f>COUNTIFS(valores7,"&lt;12",valores7,"&gt;=7")</f>
        <v>2</v>
      </c>
      <c r="F4" s="2">
        <f>E4+F3</f>
        <v>6</v>
      </c>
      <c r="G4" s="1">
        <f t="shared" ref="G4:G9" si="1">E4/$E$10</f>
        <v>0.1</v>
      </c>
      <c r="H4" s="1">
        <f>G4+H3</f>
        <v>0.30000000000000004</v>
      </c>
      <c r="I4" s="1">
        <f t="shared" ref="I4:J10" si="2">G4*100</f>
        <v>10</v>
      </c>
      <c r="J4" s="1">
        <f t="shared" si="2"/>
        <v>30.000000000000004</v>
      </c>
      <c r="K4">
        <v>9.5</v>
      </c>
    </row>
    <row r="5" spans="1:11" x14ac:dyDescent="0.25">
      <c r="A5">
        <f t="shared" ca="1" si="0"/>
        <v>32</v>
      </c>
      <c r="B5">
        <v>10</v>
      </c>
      <c r="D5" s="2" t="s">
        <v>21</v>
      </c>
      <c r="E5" s="2">
        <f>COUNTIFS(valores7,"&lt;17",valores7,"&gt;=12")</f>
        <v>3</v>
      </c>
      <c r="F5" s="2">
        <f t="shared" ref="F5:F9" si="3">E5+F4</f>
        <v>9</v>
      </c>
      <c r="G5" s="1">
        <f t="shared" si="1"/>
        <v>0.15</v>
      </c>
      <c r="H5" s="1">
        <f t="shared" ref="H5:H9" si="4">G5+H4</f>
        <v>0.45000000000000007</v>
      </c>
      <c r="I5" s="1">
        <f t="shared" si="2"/>
        <v>15</v>
      </c>
      <c r="J5" s="1">
        <f t="shared" si="2"/>
        <v>45.000000000000007</v>
      </c>
      <c r="K5">
        <v>14.5</v>
      </c>
    </row>
    <row r="6" spans="1:11" x14ac:dyDescent="0.25">
      <c r="A6">
        <f t="shared" ca="1" si="0"/>
        <v>14</v>
      </c>
      <c r="B6">
        <v>11</v>
      </c>
      <c r="D6" s="2" t="s">
        <v>22</v>
      </c>
      <c r="E6" s="2">
        <f>COUNTIFS(valores7,"&lt;22",valores7,"&gt;=17")</f>
        <v>2</v>
      </c>
      <c r="F6" s="2">
        <f t="shared" si="3"/>
        <v>11</v>
      </c>
      <c r="G6" s="1">
        <f t="shared" si="1"/>
        <v>0.1</v>
      </c>
      <c r="H6" s="1">
        <f t="shared" si="4"/>
        <v>0.55000000000000004</v>
      </c>
      <c r="I6" s="1">
        <f t="shared" si="2"/>
        <v>10</v>
      </c>
      <c r="J6" s="1">
        <f t="shared" si="2"/>
        <v>55.000000000000007</v>
      </c>
      <c r="K6">
        <v>19.5</v>
      </c>
    </row>
    <row r="7" spans="1:11" x14ac:dyDescent="0.25">
      <c r="A7">
        <f t="shared" ca="1" si="0"/>
        <v>32</v>
      </c>
      <c r="B7">
        <v>12</v>
      </c>
      <c r="D7" s="2" t="s">
        <v>23</v>
      </c>
      <c r="E7" s="2">
        <f>COUNTIFS(valores7,"&lt;27",valores7,"&gt;=22")</f>
        <v>4</v>
      </c>
      <c r="F7" s="2">
        <f t="shared" si="3"/>
        <v>15</v>
      </c>
      <c r="G7" s="1">
        <f t="shared" si="1"/>
        <v>0.2</v>
      </c>
      <c r="H7" s="1">
        <f t="shared" si="4"/>
        <v>0.75</v>
      </c>
      <c r="I7" s="1">
        <f t="shared" si="2"/>
        <v>20</v>
      </c>
      <c r="J7" s="1">
        <f t="shared" si="2"/>
        <v>75</v>
      </c>
      <c r="K7">
        <v>24.5</v>
      </c>
    </row>
    <row r="8" spans="1:11" x14ac:dyDescent="0.25">
      <c r="A8">
        <f t="shared" ca="1" si="0"/>
        <v>5</v>
      </c>
      <c r="B8">
        <v>14</v>
      </c>
      <c r="D8" s="2" t="s">
        <v>24</v>
      </c>
      <c r="E8" s="2">
        <f>COUNTIFS(valores7,"&lt;32",valores7,"&gt;=27")</f>
        <v>1</v>
      </c>
      <c r="F8" s="2">
        <f t="shared" si="3"/>
        <v>16</v>
      </c>
      <c r="G8" s="1">
        <f t="shared" si="1"/>
        <v>0.05</v>
      </c>
      <c r="H8" s="1">
        <f t="shared" si="4"/>
        <v>0.8</v>
      </c>
      <c r="I8" s="1">
        <f t="shared" si="2"/>
        <v>5</v>
      </c>
      <c r="J8" s="1">
        <f t="shared" si="2"/>
        <v>80</v>
      </c>
      <c r="K8">
        <v>25.5</v>
      </c>
    </row>
    <row r="9" spans="1:11" x14ac:dyDescent="0.25">
      <c r="A9">
        <f t="shared" ca="1" si="0"/>
        <v>13</v>
      </c>
      <c r="B9">
        <v>16</v>
      </c>
      <c r="D9" s="2" t="s">
        <v>25</v>
      </c>
      <c r="E9" s="2">
        <f>COUNTIFS(valores7,"&lt;=37",valores7,"&gt;=32")</f>
        <v>4</v>
      </c>
      <c r="F9" s="2">
        <f t="shared" si="3"/>
        <v>20</v>
      </c>
      <c r="G9" s="1">
        <f t="shared" si="1"/>
        <v>0.2</v>
      </c>
      <c r="H9" s="1">
        <f t="shared" si="4"/>
        <v>1</v>
      </c>
      <c r="I9" s="1">
        <f t="shared" si="2"/>
        <v>20</v>
      </c>
      <c r="J9" s="1">
        <f t="shared" si="2"/>
        <v>100</v>
      </c>
      <c r="K9">
        <v>30.5</v>
      </c>
    </row>
    <row r="10" spans="1:11" x14ac:dyDescent="0.25">
      <c r="A10">
        <f t="shared" ca="1" si="0"/>
        <v>36</v>
      </c>
      <c r="B10">
        <v>17</v>
      </c>
      <c r="D10" t="s">
        <v>2</v>
      </c>
      <c r="E10" s="2">
        <f>SUM(E3:E9)</f>
        <v>20</v>
      </c>
      <c r="G10" s="1">
        <f>SUM(G3:G9)</f>
        <v>1</v>
      </c>
      <c r="I10" s="1">
        <f>G10*100</f>
        <v>100</v>
      </c>
      <c r="J10" s="1"/>
    </row>
    <row r="11" spans="1:11" x14ac:dyDescent="0.25">
      <c r="A11">
        <f t="shared" ca="1" si="0"/>
        <v>6</v>
      </c>
      <c r="B11">
        <v>18</v>
      </c>
    </row>
    <row r="12" spans="1:11" x14ac:dyDescent="0.25">
      <c r="A12">
        <f t="shared" ca="1" si="0"/>
        <v>23</v>
      </c>
      <c r="B12">
        <v>23</v>
      </c>
    </row>
    <row r="13" spans="1:11" x14ac:dyDescent="0.25">
      <c r="A13">
        <f t="shared" ca="1" si="0"/>
        <v>3</v>
      </c>
      <c r="B13">
        <v>24</v>
      </c>
    </row>
    <row r="14" spans="1:11" x14ac:dyDescent="0.25">
      <c r="A14">
        <f t="shared" ca="1" si="0"/>
        <v>13</v>
      </c>
      <c r="B14">
        <v>24</v>
      </c>
    </row>
    <row r="15" spans="1:11" x14ac:dyDescent="0.25">
      <c r="A15">
        <f t="shared" ca="1" si="0"/>
        <v>27</v>
      </c>
      <c r="B15">
        <v>25</v>
      </c>
    </row>
    <row r="16" spans="1:11" x14ac:dyDescent="0.25">
      <c r="A16">
        <f t="shared" ca="1" si="0"/>
        <v>10</v>
      </c>
      <c r="B16">
        <v>27</v>
      </c>
    </row>
    <row r="17" spans="1:2" x14ac:dyDescent="0.25">
      <c r="A17">
        <f t="shared" ca="1" si="0"/>
        <v>27</v>
      </c>
      <c r="B17">
        <v>32</v>
      </c>
    </row>
    <row r="18" spans="1:2" x14ac:dyDescent="0.25">
      <c r="A18">
        <f t="shared" ca="1" si="0"/>
        <v>2</v>
      </c>
      <c r="B18">
        <v>33</v>
      </c>
    </row>
    <row r="19" spans="1:2" x14ac:dyDescent="0.25">
      <c r="A19">
        <f t="shared" ca="1" si="0"/>
        <v>12</v>
      </c>
      <c r="B19">
        <v>34</v>
      </c>
    </row>
    <row r="20" spans="1:2" x14ac:dyDescent="0.25">
      <c r="A20">
        <f t="shared" ca="1" si="0"/>
        <v>12</v>
      </c>
      <c r="B20">
        <v>37</v>
      </c>
    </row>
  </sheetData>
  <sortState xmlns:xlrd2="http://schemas.microsoft.com/office/spreadsheetml/2017/richdata2" ref="B1:B20">
    <sortCondition ref="B1"/>
  </sortState>
  <pageMargins left="0.7" right="0.7" top="0.75" bottom="0.75" header="0.3" footer="0.3"/>
  <ignoredErrors>
    <ignoredError sqref="G3:G9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F7A9-F40B-4696-8B29-055670B43E2A}">
  <dimension ref="A1:K20"/>
  <sheetViews>
    <sheetView topLeftCell="A10" workbookViewId="0">
      <selection activeCell="I21" sqref="I21"/>
    </sheetView>
  </sheetViews>
  <sheetFormatPr baseColWidth="10" defaultRowHeight="15" x14ac:dyDescent="0.25"/>
  <sheetData>
    <row r="1" spans="1:11" x14ac:dyDescent="0.25">
      <c r="A1">
        <v>2</v>
      </c>
    </row>
    <row r="2" spans="1:11" x14ac:dyDescent="0.25">
      <c r="A2">
        <v>9</v>
      </c>
      <c r="D2" t="s">
        <v>0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27</v>
      </c>
    </row>
    <row r="3" spans="1:11" x14ac:dyDescent="0.25">
      <c r="A3">
        <v>9</v>
      </c>
      <c r="D3" s="2" t="s">
        <v>20</v>
      </c>
      <c r="E3" s="2">
        <f>COUNTIFS(valores_8,"&lt;7",valores_8,"&gt;=2")</f>
        <v>1</v>
      </c>
      <c r="F3" s="2">
        <f>E3</f>
        <v>1</v>
      </c>
      <c r="G3" s="1">
        <f>E3/$E$10</f>
        <v>0.05</v>
      </c>
      <c r="H3" s="1">
        <f>G3</f>
        <v>0.05</v>
      </c>
      <c r="I3" s="1">
        <f>G3*100</f>
        <v>5</v>
      </c>
      <c r="J3" s="1">
        <f>H3*100</f>
        <v>5</v>
      </c>
      <c r="K3">
        <v>4.5</v>
      </c>
    </row>
    <row r="4" spans="1:11" x14ac:dyDescent="0.25">
      <c r="A4">
        <v>10</v>
      </c>
      <c r="D4" s="2" t="s">
        <v>26</v>
      </c>
      <c r="E4" s="2">
        <f>COUNTIFS(valores_8,"&lt;12",valores_8,"&gt;=7")</f>
        <v>3</v>
      </c>
      <c r="F4" s="2">
        <f>E4+F3</f>
        <v>4</v>
      </c>
      <c r="G4" s="1">
        <f t="shared" ref="G4:G9" si="0">E4/$E$10</f>
        <v>0.15</v>
      </c>
      <c r="H4" s="1">
        <f>G4+H3</f>
        <v>0.2</v>
      </c>
      <c r="I4" s="1">
        <f t="shared" ref="I4:J10" si="1">G4*100</f>
        <v>15</v>
      </c>
      <c r="J4" s="1">
        <f t="shared" si="1"/>
        <v>20</v>
      </c>
      <c r="K4">
        <v>9.5</v>
      </c>
    </row>
    <row r="5" spans="1:11" x14ac:dyDescent="0.25">
      <c r="A5">
        <v>12</v>
      </c>
      <c r="D5" s="2" t="s">
        <v>21</v>
      </c>
      <c r="E5" s="2">
        <f>COUNTIFS(valores_8,"&lt;17",valores_8,"&gt;=12")</f>
        <v>1</v>
      </c>
      <c r="F5" s="2">
        <f t="shared" ref="F5:F9" si="2">E5+F4</f>
        <v>5</v>
      </c>
      <c r="G5" s="1">
        <f t="shared" si="0"/>
        <v>0.05</v>
      </c>
      <c r="H5" s="1">
        <f t="shared" ref="H5:H9" si="3">G5+H4</f>
        <v>0.25</v>
      </c>
      <c r="I5" s="1">
        <f t="shared" si="1"/>
        <v>5</v>
      </c>
      <c r="J5" s="1">
        <f t="shared" si="1"/>
        <v>25</v>
      </c>
      <c r="K5">
        <v>14.5</v>
      </c>
    </row>
    <row r="6" spans="1:11" x14ac:dyDescent="0.25">
      <c r="A6">
        <v>20</v>
      </c>
      <c r="D6" s="2" t="s">
        <v>22</v>
      </c>
      <c r="E6" s="2">
        <f>COUNTIFS(valores_8,"&lt;22",valores_8,"&gt;=17")</f>
        <v>3</v>
      </c>
      <c r="F6" s="2">
        <f t="shared" si="2"/>
        <v>8</v>
      </c>
      <c r="G6" s="1">
        <f t="shared" si="0"/>
        <v>0.15</v>
      </c>
      <c r="H6" s="1">
        <f t="shared" si="3"/>
        <v>0.4</v>
      </c>
      <c r="I6" s="1">
        <f t="shared" si="1"/>
        <v>15</v>
      </c>
      <c r="J6" s="1">
        <f t="shared" si="1"/>
        <v>40</v>
      </c>
      <c r="K6">
        <v>19.5</v>
      </c>
    </row>
    <row r="7" spans="1:11" x14ac:dyDescent="0.25">
      <c r="A7">
        <v>20</v>
      </c>
      <c r="D7" s="2" t="s">
        <v>23</v>
      </c>
      <c r="E7" s="2">
        <f>COUNTIFS(valores_8,"&lt;27",valores_8,"&gt;=22")</f>
        <v>2</v>
      </c>
      <c r="F7" s="2">
        <f t="shared" si="2"/>
        <v>10</v>
      </c>
      <c r="G7" s="1">
        <f t="shared" si="0"/>
        <v>0.1</v>
      </c>
      <c r="H7" s="1">
        <f t="shared" si="3"/>
        <v>0.5</v>
      </c>
      <c r="I7" s="1">
        <f t="shared" si="1"/>
        <v>10</v>
      </c>
      <c r="J7" s="1">
        <f t="shared" si="1"/>
        <v>50</v>
      </c>
      <c r="K7">
        <v>24.5</v>
      </c>
    </row>
    <row r="8" spans="1:11" x14ac:dyDescent="0.25">
      <c r="A8">
        <v>20</v>
      </c>
      <c r="D8" s="2" t="s">
        <v>24</v>
      </c>
      <c r="E8" s="2">
        <f>COUNTIFS(valores_8,"&lt;32",valores_8,"&gt;=27")</f>
        <v>2</v>
      </c>
      <c r="F8" s="2">
        <f t="shared" si="2"/>
        <v>12</v>
      </c>
      <c r="G8" s="1">
        <f t="shared" si="0"/>
        <v>0.1</v>
      </c>
      <c r="H8" s="1">
        <f t="shared" si="3"/>
        <v>0.6</v>
      </c>
      <c r="I8" s="1">
        <f t="shared" si="1"/>
        <v>10</v>
      </c>
      <c r="J8" s="1">
        <f t="shared" si="1"/>
        <v>60</v>
      </c>
      <c r="K8">
        <v>25.5</v>
      </c>
    </row>
    <row r="9" spans="1:11" x14ac:dyDescent="0.25">
      <c r="A9">
        <v>23</v>
      </c>
      <c r="D9" s="2" t="s">
        <v>25</v>
      </c>
      <c r="E9" s="2">
        <f>COUNTIFS(valores_8,"&lt;=37",valores_8,"&gt;=32")</f>
        <v>8</v>
      </c>
      <c r="F9" s="2">
        <f t="shared" si="2"/>
        <v>20</v>
      </c>
      <c r="G9" s="1">
        <f t="shared" si="0"/>
        <v>0.4</v>
      </c>
      <c r="H9" s="1">
        <f t="shared" si="3"/>
        <v>1</v>
      </c>
      <c r="I9" s="1">
        <f t="shared" si="1"/>
        <v>40</v>
      </c>
      <c r="J9" s="1">
        <f t="shared" si="1"/>
        <v>100</v>
      </c>
      <c r="K9">
        <v>30.5</v>
      </c>
    </row>
    <row r="10" spans="1:11" x14ac:dyDescent="0.25">
      <c r="A10">
        <v>26</v>
      </c>
      <c r="D10" t="s">
        <v>2</v>
      </c>
      <c r="E10" s="2">
        <f>SUM(E3:E9)</f>
        <v>20</v>
      </c>
      <c r="G10" s="1">
        <f>SUM(G3:G9)</f>
        <v>1</v>
      </c>
      <c r="I10" s="1">
        <f>G10*100</f>
        <v>100</v>
      </c>
      <c r="J10" s="1"/>
    </row>
    <row r="11" spans="1:11" x14ac:dyDescent="0.25">
      <c r="A11">
        <v>31</v>
      </c>
    </row>
    <row r="12" spans="1:11" x14ac:dyDescent="0.25">
      <c r="A12">
        <v>31</v>
      </c>
    </row>
    <row r="13" spans="1:11" x14ac:dyDescent="0.25">
      <c r="A13">
        <v>32</v>
      </c>
    </row>
    <row r="14" spans="1:11" x14ac:dyDescent="0.25">
      <c r="A14">
        <v>33</v>
      </c>
    </row>
    <row r="15" spans="1:11" x14ac:dyDescent="0.25">
      <c r="A15">
        <v>33</v>
      </c>
    </row>
    <row r="16" spans="1:11" x14ac:dyDescent="0.25">
      <c r="A16">
        <v>34</v>
      </c>
    </row>
    <row r="17" spans="1:1" x14ac:dyDescent="0.25">
      <c r="A17">
        <v>35</v>
      </c>
    </row>
    <row r="18" spans="1:1" x14ac:dyDescent="0.25">
      <c r="A18">
        <v>36</v>
      </c>
    </row>
    <row r="19" spans="1:1" x14ac:dyDescent="0.25">
      <c r="A19">
        <v>36</v>
      </c>
    </row>
    <row r="20" spans="1:1" x14ac:dyDescent="0.25">
      <c r="A20">
        <v>37</v>
      </c>
    </row>
  </sheetData>
  <sortState xmlns:xlrd2="http://schemas.microsoft.com/office/spreadsheetml/2017/richdata2" ref="A1:A20">
    <sortCondition ref="A1"/>
  </sortState>
  <pageMargins left="0.7" right="0.7" top="0.75" bottom="0.75" header="0.3" footer="0.3"/>
  <ignoredErrors>
    <ignoredError sqref="G3:G9" 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8996-58C9-45AA-B67D-5AA1B78678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8C1C-D66C-43E8-83DA-C8920904C1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9FC2-8D50-4F5A-9DF6-79E1D6E392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51DF-A25F-477E-AA5A-15043A33C13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Hoja1</vt:lpstr>
      <vt:lpstr>TDF1</vt:lpstr>
      <vt:lpstr>TDF2</vt:lpstr>
      <vt:lpstr>TDF3</vt:lpstr>
      <vt:lpstr>TDF4</vt:lpstr>
      <vt:lpstr>TDF5</vt:lpstr>
      <vt:lpstr>TDF6</vt:lpstr>
      <vt:lpstr>TDF7</vt:lpstr>
      <vt:lpstr>TDF8</vt:lpstr>
      <vt:lpstr>TDF9</vt:lpstr>
      <vt:lpstr>TDF10</vt:lpstr>
      <vt:lpstr>TDF11</vt:lpstr>
      <vt:lpstr>TDF12</vt:lpstr>
      <vt:lpstr>tabla8</vt:lpstr>
      <vt:lpstr>valor6</vt:lpstr>
      <vt:lpstr>valores</vt:lpstr>
      <vt:lpstr>valores_8</vt:lpstr>
      <vt:lpstr>valores1</vt:lpstr>
      <vt:lpstr>valores2</vt:lpstr>
      <vt:lpstr>Valores3</vt:lpstr>
      <vt:lpstr>valores4</vt:lpstr>
      <vt:lpstr>valores5</vt:lpstr>
      <vt:lpstr>valores6</vt:lpstr>
      <vt:lpstr>valores7</vt:lpstr>
      <vt:lpstr>valores8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2021-03-20T17:38:59Z</dcterms:created>
  <dcterms:modified xsi:type="dcterms:W3CDTF">2021-03-23T02:17:23Z</dcterms:modified>
</cp:coreProperties>
</file>