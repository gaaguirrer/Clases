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Matemática para la administración I/"/>
    </mc:Choice>
  </mc:AlternateContent>
  <xr:revisionPtr revIDLastSave="281" documentId="13_ncr:1_{96655E91-0968-41F5-9E73-E75B1B9944FB}" xr6:coauthVersionLast="47" xr6:coauthVersionMax="47" xr10:uidLastSave="{75419994-1315-4522-96A9-C2DE3E8366EF}"/>
  <bookViews>
    <workbookView xWindow="-120" yWindow="-120" windowWidth="20730" windowHeight="11310" activeTab="4" xr2:uid="{00000000-000D-0000-FFFF-FFFF00000000}"/>
  </bookViews>
  <sheets>
    <sheet name="Operaciones con matrices" sheetId="4" r:id="rId1"/>
    <sheet name="Matriz transpuesta" sheetId="5" r:id="rId2"/>
    <sheet name="Gauss" sheetId="1" r:id="rId3"/>
    <sheet name="Gauss-Jordan" sheetId="2" r:id="rId4"/>
    <sheet name="Generar ecuacion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4" i="3" l="1"/>
  <c r="V5" i="3"/>
  <c r="V3" i="3"/>
  <c r="J3" i="3"/>
  <c r="N16" i="4"/>
  <c r="N15" i="4"/>
  <c r="P17" i="4"/>
  <c r="P16" i="4"/>
  <c r="P15" i="4"/>
  <c r="O17" i="4"/>
  <c r="O16" i="4"/>
  <c r="O15" i="4"/>
  <c r="N17" i="4"/>
  <c r="J5" i="5"/>
  <c r="J4" i="5"/>
  <c r="J3" i="5"/>
  <c r="I5" i="5"/>
  <c r="I4" i="5"/>
  <c r="I3" i="5"/>
  <c r="H5" i="5"/>
  <c r="H4" i="5"/>
  <c r="H3" i="5"/>
  <c r="P4" i="4"/>
  <c r="O3" i="4"/>
  <c r="N10" i="4"/>
  <c r="O10" i="4"/>
  <c r="P10" i="4"/>
  <c r="N11" i="4"/>
  <c r="O11" i="4"/>
  <c r="P11" i="4"/>
  <c r="O9" i="4"/>
  <c r="P9" i="4"/>
  <c r="N9" i="4"/>
  <c r="P3" i="4"/>
  <c r="O4" i="4"/>
  <c r="O5" i="4"/>
  <c r="P5" i="4"/>
  <c r="N4" i="4"/>
  <c r="N5" i="4"/>
  <c r="N3" i="4"/>
  <c r="J4" i="3"/>
  <c r="J5" i="3"/>
  <c r="J5" i="2"/>
  <c r="I5" i="2"/>
  <c r="H5" i="2"/>
  <c r="G5" i="2"/>
  <c r="J4" i="2"/>
  <c r="O4" i="2" s="1"/>
  <c r="I4" i="2"/>
  <c r="N4" i="2" s="1"/>
  <c r="H4" i="2"/>
  <c r="M4" i="2" s="1"/>
  <c r="J3" i="2"/>
  <c r="O3" i="2" s="1"/>
  <c r="I3" i="2"/>
  <c r="N3" i="2" s="1"/>
  <c r="H3" i="2"/>
  <c r="M3" i="2" s="1"/>
  <c r="G3" i="2"/>
  <c r="L3" i="2" s="1"/>
  <c r="G4" i="2"/>
  <c r="L4" i="2" s="1"/>
  <c r="N5" i="2" l="1"/>
  <c r="D10" i="2" s="1"/>
  <c r="O5" i="2"/>
  <c r="E12" i="2" s="1"/>
  <c r="J12" i="2" s="1"/>
  <c r="L5" i="2"/>
  <c r="B12" i="2" s="1"/>
  <c r="G12" i="2" s="1"/>
  <c r="M5" i="2"/>
  <c r="C12" i="2" s="1"/>
  <c r="H12" i="2" s="1"/>
  <c r="N4" i="1"/>
  <c r="N3" i="1"/>
  <c r="L4" i="1"/>
  <c r="L3" i="1"/>
  <c r="J5" i="1"/>
  <c r="I5" i="1"/>
  <c r="H5" i="1"/>
  <c r="N5" i="1" s="1"/>
  <c r="G5" i="1"/>
  <c r="J4" i="1"/>
  <c r="O4" i="1" s="1"/>
  <c r="I4" i="1"/>
  <c r="H4" i="1"/>
  <c r="M4" i="1" s="1"/>
  <c r="G4" i="1"/>
  <c r="I3" i="1"/>
  <c r="G3" i="1"/>
  <c r="H3" i="1"/>
  <c r="M3" i="1" s="1"/>
  <c r="J3" i="1"/>
  <c r="O3" i="1" s="1"/>
  <c r="D12" i="2" l="1"/>
  <c r="I12" i="2" s="1"/>
  <c r="B11" i="2"/>
  <c r="G11" i="2" s="1"/>
  <c r="D11" i="2"/>
  <c r="I11" i="2" s="1"/>
  <c r="M11" i="2"/>
  <c r="B10" i="2"/>
  <c r="C10" i="2"/>
  <c r="E11" i="2"/>
  <c r="J11" i="2" s="1"/>
  <c r="C11" i="2"/>
  <c r="E10" i="2"/>
  <c r="M5" i="1"/>
  <c r="O5" i="1"/>
  <c r="C10" i="1" s="1"/>
  <c r="L5" i="1"/>
  <c r="I10" i="2" l="1"/>
  <c r="H11" i="2"/>
  <c r="M10" i="2" s="1"/>
  <c r="J10" i="2"/>
  <c r="G10" i="2"/>
  <c r="H10" i="2"/>
  <c r="C9" i="1"/>
  <c r="C8" i="1" s="1"/>
  <c r="M9" i="2" l="1"/>
</calcChain>
</file>

<file path=xl/sharedStrings.xml><?xml version="1.0" encoding="utf-8"?>
<sst xmlns="http://schemas.openxmlformats.org/spreadsheetml/2006/main" count="63" uniqueCount="20">
  <si>
    <t>X</t>
  </si>
  <si>
    <t>Y</t>
  </si>
  <si>
    <t>Z</t>
  </si>
  <si>
    <t>i</t>
  </si>
  <si>
    <t>x</t>
  </si>
  <si>
    <t>y</t>
  </si>
  <si>
    <t>z</t>
  </si>
  <si>
    <t>Z=</t>
  </si>
  <si>
    <t>Puede cambiar los espacios en blanco</t>
  </si>
  <si>
    <t xml:space="preserve">Suma </t>
  </si>
  <si>
    <t>+</t>
  </si>
  <si>
    <t>=</t>
  </si>
  <si>
    <t>-</t>
  </si>
  <si>
    <t>*</t>
  </si>
  <si>
    <t>T</t>
  </si>
  <si>
    <t>X1</t>
  </si>
  <si>
    <t>X2</t>
  </si>
  <si>
    <t>X3</t>
  </si>
  <si>
    <t>X**3</t>
  </si>
  <si>
    <t>X**2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</si>
</sst>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1" xfId="0" applyBorder="1"/>
    <xf numFmtId="0" fontId="0" fillId="2" borderId="21" xfId="0" applyFill="1" applyBorder="1"/>
    <xf numFmtId="0" fontId="0" fillId="0" borderId="8" xfId="0" applyBorder="1"/>
    <xf numFmtId="0" fontId="0" fillId="2" borderId="0" xfId="0" applyFill="1"/>
    <xf numFmtId="0" fontId="0" fillId="2" borderId="12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0" fontId="0" fillId="0" borderId="20" xfId="0" applyBorder="1"/>
    <xf numFmtId="0" fontId="4" fillId="2" borderId="20" xfId="0" applyFont="1" applyFill="1" applyBorder="1"/>
    <xf numFmtId="0" fontId="4" fillId="2" borderId="9" xfId="0" applyFont="1" applyFill="1" applyBorder="1"/>
    <xf numFmtId="0" fontId="4" fillId="2" borderId="11" xfId="0" applyFont="1" applyFill="1" applyBorder="1"/>
    <xf numFmtId="0" fontId="5" fillId="0" borderId="20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2" borderId="24" xfId="0" applyFont="1" applyFill="1" applyBorder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  <xf numFmtId="0" fontId="5" fillId="2" borderId="25" xfId="0" applyFont="1" applyFill="1" applyBorder="1" applyAlignment="1">
      <alignment horizontal="justify" vertical="center" wrapText="1"/>
    </xf>
    <xf numFmtId="0" fontId="5" fillId="2" borderId="22" xfId="0" applyFont="1" applyFill="1" applyBorder="1" applyAlignment="1">
      <alignment horizontal="justify" vertical="center" wrapText="1"/>
    </xf>
    <xf numFmtId="0" fontId="5" fillId="2" borderId="23" xfId="0" applyFont="1" applyFill="1" applyBorder="1" applyAlignment="1">
      <alignment horizontal="justify" vertical="center" wrapText="1"/>
    </xf>
    <xf numFmtId="0" fontId="5" fillId="2" borderId="26" xfId="0" applyFont="1" applyFill="1" applyBorder="1" applyAlignment="1">
      <alignment horizontal="justify" vertical="center" wrapText="1"/>
    </xf>
    <xf numFmtId="0" fontId="5" fillId="2" borderId="27" xfId="0" applyFont="1" applyFill="1" applyBorder="1" applyAlignment="1">
      <alignment horizontal="justify" vertical="center" wrapText="1"/>
    </xf>
    <xf numFmtId="0" fontId="5" fillId="2" borderId="20" xfId="0" applyFont="1" applyFill="1" applyBorder="1" applyAlignment="1">
      <alignment horizontal="justify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5" fillId="2" borderId="9" xfId="0" applyFont="1" applyFill="1" applyBorder="1" applyAlignment="1">
      <alignment horizontal="justify" vertical="center" wrapText="1"/>
    </xf>
    <xf numFmtId="0" fontId="5" fillId="2" borderId="10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4" fillId="0" borderId="0" xfId="0" applyFont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justify" vertical="center" wrapText="1"/>
    </xf>
    <xf numFmtId="0" fontId="5" fillId="3" borderId="8" xfId="0" applyFont="1" applyFill="1" applyBorder="1" applyAlignment="1">
      <alignment horizontal="justify" vertical="center" wrapText="1"/>
    </xf>
    <xf numFmtId="0" fontId="5" fillId="3" borderId="9" xfId="0" applyFont="1" applyFill="1" applyBorder="1" applyAlignment="1">
      <alignment horizontal="justify" vertical="center" wrapText="1"/>
    </xf>
    <xf numFmtId="0" fontId="5" fillId="3" borderId="10" xfId="0" applyFont="1" applyFill="1" applyBorder="1" applyAlignment="1">
      <alignment horizontal="justify" vertical="center" wrapText="1"/>
    </xf>
    <xf numFmtId="0" fontId="5" fillId="3" borderId="11" xfId="0" applyFont="1" applyFill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justify" vertical="center" wrapText="1"/>
    </xf>
    <xf numFmtId="0" fontId="0" fillId="3" borderId="28" xfId="0" applyFill="1" applyBorder="1"/>
    <xf numFmtId="0" fontId="0" fillId="0" borderId="28" xfId="0" applyBorder="1"/>
    <xf numFmtId="0" fontId="0" fillId="3" borderId="29" xfId="0" applyFill="1" applyBorder="1"/>
    <xf numFmtId="0" fontId="0" fillId="0" borderId="30" xfId="0" applyBorder="1"/>
    <xf numFmtId="0" fontId="0" fillId="3" borderId="30" xfId="0" applyFill="1" applyBorder="1"/>
    <xf numFmtId="0" fontId="0" fillId="0" borderId="31" xfId="0" applyBorder="1"/>
    <xf numFmtId="0" fontId="0" fillId="3" borderId="32" xfId="0" applyFill="1" applyBorder="1"/>
    <xf numFmtId="0" fontId="0" fillId="0" borderId="33" xfId="0" applyBorder="1"/>
    <xf numFmtId="0" fontId="0" fillId="3" borderId="34" xfId="0" applyFill="1" applyBorder="1"/>
    <xf numFmtId="0" fontId="0" fillId="0" borderId="35" xfId="0" applyBorder="1"/>
    <xf numFmtId="0" fontId="0" fillId="3" borderId="35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29" xfId="0" applyBorder="1"/>
    <xf numFmtId="0" fontId="0" fillId="0" borderId="32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8D18-A629-4946-B608-B0BE5D49E046}">
  <dimension ref="A1:P17"/>
  <sheetViews>
    <sheetView workbookViewId="0">
      <selection activeCell="N18" sqref="N18"/>
    </sheetView>
  </sheetViews>
  <sheetFormatPr baseColWidth="10" defaultRowHeight="15" x14ac:dyDescent="0.25"/>
  <sheetData>
    <row r="1" spans="1:16" x14ac:dyDescent="0.25">
      <c r="A1" t="s">
        <v>9</v>
      </c>
    </row>
    <row r="2" spans="1:16" ht="15.75" thickBot="1" x14ac:dyDescent="0.3"/>
    <row r="3" spans="1:16" x14ac:dyDescent="0.25">
      <c r="B3" s="33">
        <v>1</v>
      </c>
      <c r="C3" s="34">
        <v>4</v>
      </c>
      <c r="D3" s="35">
        <v>1</v>
      </c>
      <c r="H3" s="33">
        <v>3</v>
      </c>
      <c r="I3" s="34">
        <v>4</v>
      </c>
      <c r="J3" s="35">
        <v>-1</v>
      </c>
      <c r="N3" s="40">
        <f>B3+H3</f>
        <v>4</v>
      </c>
      <c r="O3" s="41">
        <f t="shared" ref="O3" si="0">C3+I3</f>
        <v>8</v>
      </c>
      <c r="P3" s="42">
        <f>D3+J3</f>
        <v>0</v>
      </c>
    </row>
    <row r="4" spans="1:16" x14ac:dyDescent="0.25">
      <c r="B4" s="36">
        <v>-3</v>
      </c>
      <c r="C4" s="34">
        <v>-3</v>
      </c>
      <c r="D4" s="37">
        <v>4</v>
      </c>
      <c r="F4" s="8" t="s">
        <v>10</v>
      </c>
      <c r="H4" s="36">
        <v>3</v>
      </c>
      <c r="I4" s="34">
        <v>-3</v>
      </c>
      <c r="J4" s="37">
        <v>1</v>
      </c>
      <c r="L4" s="8" t="s">
        <v>11</v>
      </c>
      <c r="N4" s="43">
        <f t="shared" ref="N4:N5" si="1">B4+H4</f>
        <v>0</v>
      </c>
      <c r="O4" s="41">
        <f t="shared" ref="O4:O5" si="2">C4+I4</f>
        <v>-6</v>
      </c>
      <c r="P4" s="44">
        <f t="shared" ref="P4:P5" si="3">D4+J4</f>
        <v>5</v>
      </c>
    </row>
    <row r="5" spans="1:16" ht="15.75" thickBot="1" x14ac:dyDescent="0.3">
      <c r="B5" s="38">
        <v>0</v>
      </c>
      <c r="C5" s="34">
        <v>2</v>
      </c>
      <c r="D5" s="39">
        <v>5</v>
      </c>
      <c r="H5" s="38">
        <v>1</v>
      </c>
      <c r="I5" s="34">
        <v>-1</v>
      </c>
      <c r="J5" s="39">
        <v>2</v>
      </c>
      <c r="N5" s="45">
        <f t="shared" si="1"/>
        <v>1</v>
      </c>
      <c r="O5" s="41">
        <f t="shared" si="2"/>
        <v>1</v>
      </c>
      <c r="P5" s="46">
        <f t="shared" si="3"/>
        <v>7</v>
      </c>
    </row>
    <row r="8" spans="1:16" ht="15.75" thickBot="1" x14ac:dyDescent="0.3"/>
    <row r="9" spans="1:16" x14ac:dyDescent="0.25">
      <c r="B9" s="33">
        <v>2</v>
      </c>
      <c r="C9" s="34">
        <v>1</v>
      </c>
      <c r="D9" s="35">
        <v>3</v>
      </c>
      <c r="H9" s="33">
        <v>1</v>
      </c>
      <c r="I9" s="34">
        <v>-3</v>
      </c>
      <c r="J9" s="35">
        <v>2</v>
      </c>
      <c r="N9" s="40">
        <f>B9-H9</f>
        <v>1</v>
      </c>
      <c r="O9" s="41">
        <f t="shared" ref="O9:P9" si="4">C9-I9</f>
        <v>4</v>
      </c>
      <c r="P9" s="42">
        <f t="shared" si="4"/>
        <v>1</v>
      </c>
    </row>
    <row r="10" spans="1:16" x14ac:dyDescent="0.25">
      <c r="B10" s="36">
        <v>-1</v>
      </c>
      <c r="C10" s="34">
        <v>2</v>
      </c>
      <c r="D10" s="37">
        <v>4</v>
      </c>
      <c r="F10" s="8" t="s">
        <v>12</v>
      </c>
      <c r="H10" s="36">
        <v>2</v>
      </c>
      <c r="I10" s="34">
        <v>5</v>
      </c>
      <c r="J10" s="37">
        <v>0</v>
      </c>
      <c r="L10" s="8" t="s">
        <v>11</v>
      </c>
      <c r="N10" s="43">
        <f t="shared" ref="N10:N11" si="5">B10-H10</f>
        <v>-3</v>
      </c>
      <c r="O10" s="41">
        <f t="shared" ref="O10:O11" si="6">C10-I10</f>
        <v>-3</v>
      </c>
      <c r="P10" s="44">
        <f t="shared" ref="P10:P11" si="7">D10-J10</f>
        <v>4</v>
      </c>
    </row>
    <row r="11" spans="1:16" ht="15.75" thickBot="1" x14ac:dyDescent="0.3">
      <c r="B11" s="38">
        <v>0</v>
      </c>
      <c r="C11" s="34">
        <v>1</v>
      </c>
      <c r="D11" s="39">
        <v>3</v>
      </c>
      <c r="H11" s="38">
        <v>0</v>
      </c>
      <c r="I11" s="34">
        <v>-1</v>
      </c>
      <c r="J11" s="39">
        <v>-2</v>
      </c>
      <c r="N11" s="45">
        <f t="shared" si="5"/>
        <v>0</v>
      </c>
      <c r="O11" s="41">
        <f t="shared" si="6"/>
        <v>2</v>
      </c>
      <c r="P11" s="46">
        <f t="shared" si="7"/>
        <v>5</v>
      </c>
    </row>
    <row r="14" spans="1:16" ht="15.75" thickBot="1" x14ac:dyDescent="0.3"/>
    <row r="15" spans="1:16" x14ac:dyDescent="0.25">
      <c r="B15" s="33">
        <v>3</v>
      </c>
      <c r="C15" s="34">
        <v>2</v>
      </c>
      <c r="D15" s="35">
        <v>5</v>
      </c>
      <c r="H15" s="33">
        <v>2</v>
      </c>
      <c r="I15" s="34">
        <v>1</v>
      </c>
      <c r="J15" s="35">
        <v>3</v>
      </c>
      <c r="N15" s="47">
        <f>B15*H15+B16*I15+B17*J15</f>
        <v>5</v>
      </c>
      <c r="O15" s="41">
        <f>B15*I15+C15*I16+D15*I17</f>
        <v>12</v>
      </c>
      <c r="P15" s="48">
        <f>B15*J15+C15*J16+D15*J17</f>
        <v>32</v>
      </c>
    </row>
    <row r="16" spans="1:16" x14ac:dyDescent="0.25">
      <c r="B16" s="36">
        <v>2</v>
      </c>
      <c r="C16" s="34">
        <v>-1</v>
      </c>
      <c r="D16" s="37">
        <v>1</v>
      </c>
      <c r="F16" s="8" t="s">
        <v>13</v>
      </c>
      <c r="H16" s="36">
        <v>-1</v>
      </c>
      <c r="I16" s="34">
        <v>2</v>
      </c>
      <c r="J16" s="37">
        <v>4</v>
      </c>
      <c r="L16" t="s">
        <v>11</v>
      </c>
      <c r="N16" s="49">
        <f>B16*H15+H16*C16+D16*H17</f>
        <v>5</v>
      </c>
      <c r="O16" s="41">
        <f>B16*I15+C16*I16+D16*I17</f>
        <v>1</v>
      </c>
      <c r="P16" s="50">
        <f>B16*J15+J16*C16+D16*J17</f>
        <v>5</v>
      </c>
    </row>
    <row r="17" spans="2:16" ht="15.75" thickBot="1" x14ac:dyDescent="0.3">
      <c r="B17" s="38">
        <v>-1</v>
      </c>
      <c r="C17" s="34">
        <v>2</v>
      </c>
      <c r="D17" s="39">
        <v>4</v>
      </c>
      <c r="H17" s="38">
        <v>0</v>
      </c>
      <c r="I17" s="34">
        <v>1</v>
      </c>
      <c r="J17" s="39">
        <v>3</v>
      </c>
      <c r="N17" s="51">
        <f>B17*H15+C17*H16+D17*H17</f>
        <v>-4</v>
      </c>
      <c r="O17" s="41">
        <f>B17*I15+I16*C17+D17*I17</f>
        <v>7</v>
      </c>
      <c r="P17" s="52">
        <f>B17*J15+C17*J16+D17*J17</f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BEBF-9051-44E8-9ED6-4C1B2685CC09}">
  <dimension ref="B2:K5"/>
  <sheetViews>
    <sheetView workbookViewId="0">
      <selection activeCell="H15" sqref="H15"/>
    </sheetView>
  </sheetViews>
  <sheetFormatPr baseColWidth="10" defaultRowHeight="15" x14ac:dyDescent="0.25"/>
  <sheetData>
    <row r="2" spans="2:11" ht="15.75" thickBot="1" x14ac:dyDescent="0.3">
      <c r="K2" s="53" t="s">
        <v>14</v>
      </c>
    </row>
    <row r="3" spans="2:11" x14ac:dyDescent="0.25">
      <c r="B3" s="33">
        <v>3</v>
      </c>
      <c r="C3" s="34">
        <v>4</v>
      </c>
      <c r="D3" s="35">
        <v>-1</v>
      </c>
      <c r="H3" s="77">
        <f>B3</f>
        <v>3</v>
      </c>
      <c r="I3" s="78">
        <f>B4</f>
        <v>3</v>
      </c>
      <c r="J3" s="79">
        <f>B5</f>
        <v>1</v>
      </c>
    </row>
    <row r="4" spans="2:11" x14ac:dyDescent="0.25">
      <c r="B4" s="36">
        <v>3</v>
      </c>
      <c r="C4" s="34">
        <v>-3</v>
      </c>
      <c r="D4" s="37">
        <v>1</v>
      </c>
      <c r="F4" s="8" t="s">
        <v>11</v>
      </c>
      <c r="H4" s="80">
        <f>C3</f>
        <v>4</v>
      </c>
      <c r="I4" s="78">
        <f>C4</f>
        <v>-3</v>
      </c>
      <c r="J4" s="81">
        <f>C5</f>
        <v>-1</v>
      </c>
    </row>
    <row r="5" spans="2:11" ht="15.75" thickBot="1" x14ac:dyDescent="0.3">
      <c r="B5" s="38">
        <v>1</v>
      </c>
      <c r="C5" s="34">
        <v>-1</v>
      </c>
      <c r="D5" s="39">
        <v>2</v>
      </c>
      <c r="H5" s="82">
        <f>D3</f>
        <v>-1</v>
      </c>
      <c r="I5" s="78">
        <f>D4</f>
        <v>1</v>
      </c>
      <c r="J5" s="83">
        <f>D5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workbookViewId="0">
      <selection activeCell="L3" sqref="L3:O5"/>
    </sheetView>
  </sheetViews>
  <sheetFormatPr baseColWidth="10" defaultColWidth="9.140625" defaultRowHeight="15" x14ac:dyDescent="0.25"/>
  <sheetData>
    <row r="2" spans="2:16" ht="15.75" thickBo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2:16" x14ac:dyDescent="0.25">
      <c r="B3" s="1"/>
      <c r="C3" s="2"/>
      <c r="D3" s="3"/>
      <c r="E3" s="4"/>
      <c r="F3" s="8"/>
      <c r="G3" s="69">
        <f>B3</f>
        <v>0</v>
      </c>
      <c r="H3" s="70">
        <f t="shared" ref="H3:J3" si="0">C3</f>
        <v>0</v>
      </c>
      <c r="I3" s="71">
        <f>D3</f>
        <v>0</v>
      </c>
      <c r="J3" s="70">
        <f t="shared" si="0"/>
        <v>0</v>
      </c>
      <c r="K3" s="8"/>
      <c r="L3" s="69">
        <f t="shared" ref="L3:O4" si="1">G3</f>
        <v>0</v>
      </c>
      <c r="M3" s="70">
        <f t="shared" si="1"/>
        <v>0</v>
      </c>
      <c r="N3" s="71">
        <f t="shared" si="1"/>
        <v>0</v>
      </c>
      <c r="O3" s="70">
        <f t="shared" si="1"/>
        <v>0</v>
      </c>
      <c r="P3" s="8"/>
    </row>
    <row r="4" spans="2:16" x14ac:dyDescent="0.25">
      <c r="B4" s="4"/>
      <c r="C4" s="2"/>
      <c r="D4" s="5"/>
      <c r="E4" s="4"/>
      <c r="F4" s="8"/>
      <c r="G4" s="72">
        <f>(($B$4*-1)*B3)+($B$3*B4)</f>
        <v>0</v>
      </c>
      <c r="H4" s="70">
        <f>(($B$4*-1)*C3)+($B$3*C4)</f>
        <v>0</v>
      </c>
      <c r="I4" s="73">
        <f>(($B$4*-1)*D3)+($B$3*D4)</f>
        <v>0</v>
      </c>
      <c r="J4" s="72">
        <f>(($B$4*-1)*E3)+($B$3*E4)</f>
        <v>0</v>
      </c>
      <c r="K4" s="8"/>
      <c r="L4" s="72">
        <f t="shared" si="1"/>
        <v>0</v>
      </c>
      <c r="M4" s="70">
        <f t="shared" si="1"/>
        <v>0</v>
      </c>
      <c r="N4" s="73">
        <f t="shared" si="1"/>
        <v>0</v>
      </c>
      <c r="O4" s="76">
        <f t="shared" si="1"/>
        <v>0</v>
      </c>
      <c r="P4" s="8"/>
    </row>
    <row r="5" spans="2:16" ht="15.75" thickBot="1" x14ac:dyDescent="0.3">
      <c r="B5" s="6"/>
      <c r="C5" s="2"/>
      <c r="D5" s="7"/>
      <c r="E5" s="4"/>
      <c r="F5" s="8"/>
      <c r="G5" s="74">
        <f>(($B$5*-1)*B3)+($B$3*B5)</f>
        <v>0</v>
      </c>
      <c r="H5" s="70">
        <f>(($B$5*-1)*C3)+($B$3*C5)</f>
        <v>0</v>
      </c>
      <c r="I5" s="75">
        <f>(($B$5*-1)*D3)+($B$3*D5)</f>
        <v>0</v>
      </c>
      <c r="J5" s="72">
        <f>(($B$5*-1)*E3)+($B$3*E5)</f>
        <v>0</v>
      </c>
      <c r="K5" s="8"/>
      <c r="L5" s="74">
        <f>(($H$5*-1)*G4)+($H$4*G5)</f>
        <v>0</v>
      </c>
      <c r="M5" s="70">
        <f>(($H$5*-1)*H4)+($H$4*H5)</f>
        <v>0</v>
      </c>
      <c r="N5" s="75">
        <f>(($H$5*-1)*I4)+($H$4*I5)</f>
        <v>0</v>
      </c>
      <c r="O5" s="72">
        <f>(($H$5*-1)*J4)+($H$4*J5)</f>
        <v>0</v>
      </c>
      <c r="P5" s="8"/>
    </row>
    <row r="6" spans="2:16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2"/>
      <c r="P6" s="8"/>
    </row>
    <row r="7" spans="2:16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2"/>
      <c r="P7" s="8"/>
    </row>
    <row r="8" spans="2:16" x14ac:dyDescent="0.25">
      <c r="B8" s="9" t="s">
        <v>0</v>
      </c>
      <c r="C8" s="8" t="e">
        <f>(O3+(N3*C10*-1)+(M3*C9*-1))/L3</f>
        <v>#DIV/0!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6" x14ac:dyDescent="0.25">
      <c r="B9" s="9" t="s">
        <v>1</v>
      </c>
      <c r="C9" s="8" t="e">
        <f>(O4+(N4*C10*-1))/M4</f>
        <v>#DIV/0!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2:16" x14ac:dyDescent="0.25">
      <c r="B10" s="9" t="s">
        <v>2</v>
      </c>
      <c r="C10" s="8" t="e">
        <f>O5/N5</f>
        <v>#DIV/0!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2:16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6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2:16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6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2:16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16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2:16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2:16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357F-A461-4E97-81BE-AD4A1FD58C19}">
  <dimension ref="B1:O13"/>
  <sheetViews>
    <sheetView workbookViewId="0">
      <selection activeCell="P11" sqref="P11"/>
    </sheetView>
  </sheetViews>
  <sheetFormatPr baseColWidth="10" defaultRowHeight="15" x14ac:dyDescent="0.25"/>
  <cols>
    <col min="2" max="15" width="6.7109375" customWidth="1"/>
  </cols>
  <sheetData>
    <row r="1" spans="2:15" ht="15.75" thickBot="1" x14ac:dyDescent="0.3"/>
    <row r="2" spans="2:15" ht="15.75" thickBot="1" x14ac:dyDescent="0.3">
      <c r="B2" s="13" t="s">
        <v>0</v>
      </c>
      <c r="C2" s="14" t="s">
        <v>1</v>
      </c>
      <c r="D2" s="14" t="s">
        <v>2</v>
      </c>
      <c r="E2" s="15" t="s">
        <v>3</v>
      </c>
      <c r="F2" s="8"/>
      <c r="G2" s="13" t="s">
        <v>0</v>
      </c>
      <c r="H2" s="14" t="s">
        <v>1</v>
      </c>
      <c r="I2" s="14" t="s">
        <v>2</v>
      </c>
      <c r="J2" s="15" t="s">
        <v>3</v>
      </c>
      <c r="K2" s="8"/>
      <c r="L2" s="13" t="s">
        <v>4</v>
      </c>
      <c r="M2" s="14" t="s">
        <v>5</v>
      </c>
      <c r="N2" s="14" t="s">
        <v>6</v>
      </c>
      <c r="O2" s="15" t="s">
        <v>3</v>
      </c>
    </row>
    <row r="3" spans="2:15" x14ac:dyDescent="0.25">
      <c r="B3" s="16"/>
      <c r="E3" s="17"/>
      <c r="F3" s="8"/>
      <c r="G3" s="60">
        <f>B3</f>
        <v>0</v>
      </c>
      <c r="H3" s="61">
        <f>C3</f>
        <v>0</v>
      </c>
      <c r="I3" s="61">
        <f>D3</f>
        <v>0</v>
      </c>
      <c r="J3" s="62">
        <f>E3</f>
        <v>0</v>
      </c>
      <c r="K3" s="8"/>
      <c r="L3" s="60">
        <f>G3</f>
        <v>0</v>
      </c>
      <c r="M3" s="61">
        <f>H3</f>
        <v>0</v>
      </c>
      <c r="N3" s="61">
        <f>I3</f>
        <v>0</v>
      </c>
      <c r="O3" s="62">
        <f>J3</f>
        <v>0</v>
      </c>
    </row>
    <row r="4" spans="2:15" x14ac:dyDescent="0.25">
      <c r="B4" s="16"/>
      <c r="E4" s="17"/>
      <c r="F4" s="8"/>
      <c r="G4" s="60">
        <f>(($B$4*-1)*B3)+($B$3*B4)</f>
        <v>0</v>
      </c>
      <c r="H4" s="61">
        <f>(($B$4*-1)*C3)+($B$3*C4)</f>
        <v>0</v>
      </c>
      <c r="I4" s="61">
        <f>(($B$4*-1)*D3)+($B$3*D4)</f>
        <v>0</v>
      </c>
      <c r="J4" s="62">
        <f>(($B$4*-1)*E3)+($B$3*E4)</f>
        <v>0</v>
      </c>
      <c r="K4" s="8"/>
      <c r="L4" s="60">
        <f>G4</f>
        <v>0</v>
      </c>
      <c r="M4" s="61">
        <f t="shared" ref="M4:O4" si="0">H4</f>
        <v>0</v>
      </c>
      <c r="N4" s="61">
        <f t="shared" si="0"/>
        <v>0</v>
      </c>
      <c r="O4" s="62">
        <f t="shared" si="0"/>
        <v>0</v>
      </c>
    </row>
    <row r="5" spans="2:15" ht="15.75" thickBot="1" x14ac:dyDescent="0.3">
      <c r="B5" s="18"/>
      <c r="C5" s="19"/>
      <c r="D5" s="19"/>
      <c r="E5" s="20"/>
      <c r="F5" s="8"/>
      <c r="G5" s="63">
        <f>(($B$5*-1)*B3)+($B$3*B5)</f>
        <v>0</v>
      </c>
      <c r="H5" s="64">
        <f>(($B$5*-1)*C3)+($B$3*C5)</f>
        <v>0</v>
      </c>
      <c r="I5" s="64">
        <f>(($B$5*-1)*D3)+($B$3*D5)</f>
        <v>0</v>
      </c>
      <c r="J5" s="65">
        <f>(($B$5*-1)*E3)+($B$3*E5)</f>
        <v>0</v>
      </c>
      <c r="K5" s="8"/>
      <c r="L5" s="63">
        <f>(($H$5*-1)*G4)+($H$4*G5)</f>
        <v>0</v>
      </c>
      <c r="M5" s="64">
        <f>(($H$5*-1)*H4)+($H$4*H5)</f>
        <v>0</v>
      </c>
      <c r="N5" s="64">
        <f>(($H$5*-1)*I4)+($H$4*I5)</f>
        <v>0</v>
      </c>
      <c r="O5" s="65">
        <f>(($H$5*-1)*J4)+($H$4*J5)</f>
        <v>0</v>
      </c>
    </row>
    <row r="6" spans="2:15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5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5" ht="15.75" thickBot="1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5" ht="15.75" thickBot="1" x14ac:dyDescent="0.3">
      <c r="B9" s="13" t="s">
        <v>0</v>
      </c>
      <c r="C9" s="14" t="s">
        <v>1</v>
      </c>
      <c r="D9" s="14" t="s">
        <v>2</v>
      </c>
      <c r="E9" s="15" t="s">
        <v>3</v>
      </c>
      <c r="F9" s="8"/>
      <c r="G9" s="13" t="s">
        <v>0</v>
      </c>
      <c r="H9" s="14" t="s">
        <v>1</v>
      </c>
      <c r="I9" s="14" t="s">
        <v>2</v>
      </c>
      <c r="J9" s="15" t="s">
        <v>3</v>
      </c>
      <c r="K9" s="8"/>
      <c r="L9" s="10" t="s">
        <v>0</v>
      </c>
      <c r="M9" s="66" t="e">
        <f>J10/G10</f>
        <v>#DIV/0!</v>
      </c>
      <c r="N9" s="8"/>
      <c r="O9" s="8"/>
    </row>
    <row r="10" spans="2:15" x14ac:dyDescent="0.25">
      <c r="B10" s="60">
        <f>(($N$5*-1)*L3)+($N$3*L5)</f>
        <v>0</v>
      </c>
      <c r="C10" s="61">
        <f t="shared" ref="C10:E10" si="1">(($N$5*-1)*M3)+($N$3*M5)</f>
        <v>0</v>
      </c>
      <c r="D10" s="61">
        <f t="shared" si="1"/>
        <v>0</v>
      </c>
      <c r="E10" s="62">
        <f t="shared" si="1"/>
        <v>0</v>
      </c>
      <c r="F10" s="8"/>
      <c r="G10" s="60">
        <f>(($C$11*-1)*B10)+($C$10*B11)</f>
        <v>0</v>
      </c>
      <c r="H10" s="61">
        <f t="shared" ref="H10:J10" si="2">(($C$11*-1)*C10)+($C$10*C11)</f>
        <v>0</v>
      </c>
      <c r="I10" s="61">
        <f t="shared" si="2"/>
        <v>0</v>
      </c>
      <c r="J10" s="62">
        <f t="shared" si="2"/>
        <v>0</v>
      </c>
      <c r="K10" s="8"/>
      <c r="L10" s="11" t="s">
        <v>1</v>
      </c>
      <c r="M10" s="67" t="e">
        <f>J11/H11</f>
        <v>#DIV/0!</v>
      </c>
      <c r="N10" s="8"/>
      <c r="O10" s="8"/>
    </row>
    <row r="11" spans="2:15" ht="15.75" thickBot="1" x14ac:dyDescent="0.3">
      <c r="B11" s="60">
        <f>(($N$5*-1)*L4)+($N$4*L5)</f>
        <v>0</v>
      </c>
      <c r="C11" s="61">
        <f t="shared" ref="C11:E11" si="3">(($N$5*-1)*M4)+($N$4*M5)</f>
        <v>0</v>
      </c>
      <c r="D11" s="61">
        <f t="shared" si="3"/>
        <v>0</v>
      </c>
      <c r="E11" s="62">
        <f t="shared" si="3"/>
        <v>0</v>
      </c>
      <c r="F11" s="8"/>
      <c r="G11" s="60">
        <f>B11</f>
        <v>0</v>
      </c>
      <c r="H11" s="61">
        <f t="shared" ref="H11:J12" si="4">C11</f>
        <v>0</v>
      </c>
      <c r="I11" s="61">
        <f t="shared" si="4"/>
        <v>0</v>
      </c>
      <c r="J11" s="62">
        <f t="shared" si="4"/>
        <v>0</v>
      </c>
      <c r="K11" s="8"/>
      <c r="L11" s="12" t="s">
        <v>2</v>
      </c>
      <c r="M11" s="68" t="e">
        <f>J12/I12</f>
        <v>#DIV/0!</v>
      </c>
      <c r="N11" s="8"/>
      <c r="O11" s="8"/>
    </row>
    <row r="12" spans="2:15" ht="15.75" thickBot="1" x14ac:dyDescent="0.3">
      <c r="B12" s="63">
        <f>L5</f>
        <v>0</v>
      </c>
      <c r="C12" s="64">
        <f t="shared" ref="C12:E12" si="5">M5</f>
        <v>0</v>
      </c>
      <c r="D12" s="64">
        <f t="shared" si="5"/>
        <v>0</v>
      </c>
      <c r="E12" s="65">
        <f t="shared" si="5"/>
        <v>0</v>
      </c>
      <c r="F12" s="8"/>
      <c r="G12" s="63">
        <f>B12</f>
        <v>0</v>
      </c>
      <c r="H12" s="64">
        <f t="shared" si="4"/>
        <v>0</v>
      </c>
      <c r="I12" s="64">
        <f t="shared" si="4"/>
        <v>0</v>
      </c>
      <c r="J12" s="65">
        <f t="shared" si="4"/>
        <v>0</v>
      </c>
      <c r="K12" s="8"/>
      <c r="L12" s="8"/>
      <c r="M12" s="8"/>
      <c r="N12" s="8"/>
      <c r="O12" s="8"/>
    </row>
    <row r="13" spans="2:15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6DEF-EDDE-459A-BF87-43207423589B}">
  <dimension ref="A1:V5"/>
  <sheetViews>
    <sheetView tabSelected="1" workbookViewId="0">
      <selection activeCell="Y10" sqref="Y10"/>
    </sheetView>
  </sheetViews>
  <sheetFormatPr baseColWidth="10" defaultRowHeight="15" x14ac:dyDescent="0.25"/>
  <cols>
    <col min="1" max="2" width="4.7109375" customWidth="1"/>
    <col min="3" max="3" width="2.5703125" customWidth="1"/>
    <col min="4" max="10" width="4.7109375" customWidth="1"/>
    <col min="12" max="21" width="4.7109375" customWidth="1"/>
  </cols>
  <sheetData>
    <row r="1" spans="1:22" x14ac:dyDescent="0.25">
      <c r="A1" s="54" t="s">
        <v>8</v>
      </c>
      <c r="B1" s="55"/>
      <c r="C1" s="55"/>
      <c r="D1" s="55"/>
      <c r="E1" s="55"/>
      <c r="F1" s="55"/>
      <c r="G1" s="55"/>
      <c r="H1" s="55"/>
      <c r="I1" s="55"/>
      <c r="J1" s="56"/>
    </row>
    <row r="2" spans="1:22" ht="15.75" thickBot="1" x14ac:dyDescent="0.3">
      <c r="A2" s="57"/>
      <c r="B2" s="58"/>
      <c r="C2" s="58"/>
      <c r="D2" s="58"/>
      <c r="E2" s="58"/>
      <c r="F2" s="58"/>
      <c r="G2" s="58"/>
      <c r="H2" s="58"/>
      <c r="I2" s="58"/>
      <c r="J2" s="59"/>
    </row>
    <row r="3" spans="1:22" x14ac:dyDescent="0.25">
      <c r="A3" s="30" t="s">
        <v>0</v>
      </c>
      <c r="B3" s="23">
        <v>5</v>
      </c>
      <c r="C3" s="22"/>
      <c r="D3" s="29">
        <v>3</v>
      </c>
      <c r="E3" s="22" t="s">
        <v>0</v>
      </c>
      <c r="F3" s="21"/>
      <c r="G3" s="22" t="s">
        <v>1</v>
      </c>
      <c r="H3" s="21"/>
      <c r="I3" s="22" t="s">
        <v>7</v>
      </c>
      <c r="J3" s="26">
        <f>($B$3*D3)+($B$4*F3)+($B$5*H3)</f>
        <v>15</v>
      </c>
      <c r="L3" s="86" t="s">
        <v>15</v>
      </c>
      <c r="M3" s="89"/>
      <c r="N3" s="96"/>
      <c r="O3" s="99"/>
      <c r="P3" s="88" t="s">
        <v>18</v>
      </c>
      <c r="Q3" s="87"/>
      <c r="R3" s="88" t="s">
        <v>19</v>
      </c>
      <c r="S3" s="87"/>
      <c r="T3" s="88" t="s">
        <v>0</v>
      </c>
      <c r="U3" s="87" t="s">
        <v>11</v>
      </c>
      <c r="V3" s="89">
        <f>(O3*POWER(M3,3)+(Q3*POWER(M4,2)+(M5*S3)))</f>
        <v>0</v>
      </c>
    </row>
    <row r="4" spans="1:22" x14ac:dyDescent="0.25">
      <c r="A4" s="31" t="s">
        <v>1</v>
      </c>
      <c r="B4" s="17">
        <v>0</v>
      </c>
      <c r="C4" s="24"/>
      <c r="D4" s="16"/>
      <c r="E4" s="24" t="s">
        <v>0</v>
      </c>
      <c r="G4" s="24" t="s">
        <v>1</v>
      </c>
      <c r="I4" s="24" t="s">
        <v>7</v>
      </c>
      <c r="J4" s="27">
        <f t="shared" ref="J4:J5" si="0">($B$3*D4)+($B$4*F4)+($B$5*H4)</f>
        <v>0</v>
      </c>
      <c r="L4" s="90" t="s">
        <v>16</v>
      </c>
      <c r="M4" s="91"/>
      <c r="N4" s="97"/>
      <c r="O4" s="100"/>
      <c r="P4" s="84" t="s">
        <v>18</v>
      </c>
      <c r="Q4" s="85"/>
      <c r="R4" s="84" t="s">
        <v>19</v>
      </c>
      <c r="S4" s="85"/>
      <c r="T4" s="84" t="s">
        <v>0</v>
      </c>
      <c r="U4" s="85" t="s">
        <v>11</v>
      </c>
      <c r="V4" s="91">
        <f t="shared" ref="V4:V5" si="1">(O4*POWER(M4,3)+(Q4*POWER(M5,2)+(M6*S4)))</f>
        <v>0</v>
      </c>
    </row>
    <row r="5" spans="1:22" ht="15.75" thickBot="1" x14ac:dyDescent="0.3">
      <c r="A5" s="32" t="s">
        <v>2</v>
      </c>
      <c r="B5" s="20">
        <v>0</v>
      </c>
      <c r="C5" s="25"/>
      <c r="D5" s="18"/>
      <c r="E5" s="25" t="s">
        <v>0</v>
      </c>
      <c r="F5" s="19"/>
      <c r="G5" s="25" t="s">
        <v>1</v>
      </c>
      <c r="H5" s="19"/>
      <c r="I5" s="25" t="s">
        <v>7</v>
      </c>
      <c r="J5" s="28">
        <f t="shared" si="0"/>
        <v>0</v>
      </c>
      <c r="L5" s="92" t="s">
        <v>17</v>
      </c>
      <c r="M5" s="95"/>
      <c r="N5" s="98"/>
      <c r="O5" s="101"/>
      <c r="P5" s="94" t="s">
        <v>18</v>
      </c>
      <c r="Q5" s="93"/>
      <c r="R5" s="94" t="s">
        <v>19</v>
      </c>
      <c r="S5" s="93"/>
      <c r="T5" s="94" t="s">
        <v>0</v>
      </c>
      <c r="U5" s="93" t="s">
        <v>11</v>
      </c>
      <c r="V5" s="95">
        <f t="shared" si="1"/>
        <v>0</v>
      </c>
    </row>
  </sheetData>
  <mergeCells count="1">
    <mergeCell ref="A1:J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Operaciones con matrices</vt:lpstr>
      <vt:lpstr>Matriz transpuesta</vt:lpstr>
      <vt:lpstr>Gauss</vt:lpstr>
      <vt:lpstr>Gauss-Jordan</vt:lpstr>
      <vt:lpstr>Generar ecuaciones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2023-05-01T22:20:15Z</dcterms:modified>
</cp:coreProperties>
</file>