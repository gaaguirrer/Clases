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excel básico)/Material/"/>
    </mc:Choice>
  </mc:AlternateContent>
  <xr:revisionPtr revIDLastSave="109" documentId="8_{F32184A0-1EC4-4283-BB16-26ED48AC5AEF}" xr6:coauthVersionLast="47" xr6:coauthVersionMax="47" xr10:uidLastSave="{441EF133-1C88-499A-A375-54B2604D12E5}"/>
  <bookViews>
    <workbookView xWindow="-120" yWindow="-120" windowWidth="20730" windowHeight="11310" activeTab="5" xr2:uid="{05B1508E-5A25-4228-BDBB-8951453243B2}"/>
  </bookViews>
  <sheets>
    <sheet name="Hoja2" sheetId="2" r:id="rId1"/>
    <sheet name="Hoja3" sheetId="3" r:id="rId2"/>
    <sheet name="Hoja4" sheetId="4" r:id="rId3"/>
    <sheet name="Hoja5" sheetId="5" r:id="rId4"/>
    <sheet name="Hoja6" sheetId="6" r:id="rId5"/>
    <sheet name="Hoja7" sheetId="7" r:id="rId6"/>
  </sheets>
  <definedNames>
    <definedName name="Activo_Total">Hoja3!$C$15</definedName>
    <definedName name="productos">Hoja4!$B$5:$B$11</definedName>
    <definedName name="Total_Act_Circ">Hoja3!$C$10</definedName>
    <definedName name="Total_Act_NOcirc">Hoja3!$C$14</definedName>
    <definedName name="TPasivo_Circ">Hoja3!$F$9</definedName>
    <definedName name="TPasivo_NOcirc">Hoja3!$F$12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5" l="1"/>
  <c r="F8" i="5" a="1"/>
  <c r="F8" i="5" s="1"/>
  <c r="B8" i="5" a="1"/>
  <c r="B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<sst xmlns="http://schemas.openxmlformats.org/spreadsheetml/2006/main" count="95" uniqueCount="85">
  <si>
    <t>Activos</t>
  </si>
  <si>
    <t>Activo Circulante</t>
  </si>
  <si>
    <t>Caja y Bancos</t>
  </si>
  <si>
    <t>$10,000</t>
  </si>
  <si>
    <t>Cuentas por Cobrar</t>
  </si>
  <si>
    <t>$15,000</t>
  </si>
  <si>
    <t>Inventario</t>
  </si>
  <si>
    <t>$20,000</t>
  </si>
  <si>
    <t>$45,000</t>
  </si>
  <si>
    <t>Activo No Circulante</t>
  </si>
  <si>
    <t>Inmuebles y Terrenos</t>
  </si>
  <si>
    <t>$50,000</t>
  </si>
  <si>
    <t>Maquinaria y Equipo</t>
  </si>
  <si>
    <t>$30,000</t>
  </si>
  <si>
    <t>$80,000</t>
  </si>
  <si>
    <t>Total de Activos</t>
  </si>
  <si>
    <t>$125,000</t>
  </si>
  <si>
    <t>Pasivos</t>
  </si>
  <si>
    <t>Pasivo Circulante</t>
  </si>
  <si>
    <t>Cuentas por Pagar</t>
  </si>
  <si>
    <t>$5,000</t>
  </si>
  <si>
    <t>Préstamos a Corto Plazo</t>
  </si>
  <si>
    <t>Pasivo No Circulante</t>
  </si>
  <si>
    <t>Préstamos a Largo Plazo</t>
  </si>
  <si>
    <t>Total de Pasivos</t>
  </si>
  <si>
    <t>$35,000</t>
  </si>
  <si>
    <t>Patrimonio Neto</t>
  </si>
  <si>
    <t>Capital Social</t>
  </si>
  <si>
    <t>Utilidades Retenidas</t>
  </si>
  <si>
    <t>$40,000</t>
  </si>
  <si>
    <t>$90,000</t>
  </si>
  <si>
    <t>Producto</t>
  </si>
  <si>
    <t>Cantidad</t>
  </si>
  <si>
    <t>Precio Unitario</t>
  </si>
  <si>
    <t>Subtotal</t>
  </si>
  <si>
    <t>Bolígrafos (paquete 10 unidades)</t>
  </si>
  <si>
    <t>$5</t>
  </si>
  <si>
    <t>$10</t>
  </si>
  <si>
    <t>Bloc de notas (pack de 5)</t>
  </si>
  <si>
    <t>$3</t>
  </si>
  <si>
    <t>$9</t>
  </si>
  <si>
    <t>Carpetas (unidad)</t>
  </si>
  <si>
    <t>$2</t>
  </si>
  <si>
    <t>Calculadora básica</t>
  </si>
  <si>
    <t>Papel de impresión (paquete 500 hojas)</t>
  </si>
  <si>
    <t>$8</t>
  </si>
  <si>
    <t>$16</t>
  </si>
  <si>
    <t>Clips metálicos (caja de 100 unidades)</t>
  </si>
  <si>
    <t>$4</t>
  </si>
  <si>
    <t>$59</t>
  </si>
  <si>
    <t>Descuento (5%)</t>
  </si>
  <si>
    <t>-$2.95</t>
  </si>
  <si>
    <t>Subtotal con Descuento</t>
  </si>
  <si>
    <t>$56.05</t>
  </si>
  <si>
    <t>Impuesto (IVA 12%)</t>
  </si>
  <si>
    <t>$6.726</t>
  </si>
  <si>
    <t>Total</t>
  </si>
  <si>
    <t>$62.776</t>
  </si>
  <si>
    <t>Pago</t>
  </si>
  <si>
    <t>Cambio</t>
  </si>
  <si>
    <t>Empleado</t>
  </si>
  <si>
    <t>Cargo</t>
  </si>
  <si>
    <t>Salario Mensual (C$)</t>
  </si>
  <si>
    <t>Horas Extras (Horas)</t>
  </si>
  <si>
    <t>Pago por Hora Extra (C$)</t>
  </si>
  <si>
    <t>Total Horas Extras (C$)</t>
  </si>
  <si>
    <t>Total (C$)</t>
  </si>
  <si>
    <t>Deducciones (C$)</t>
  </si>
  <si>
    <t>Impuestos (C$)</t>
  </si>
  <si>
    <t>Juan Perez</t>
  </si>
  <si>
    <t>Maestro Cervecero</t>
  </si>
  <si>
    <t>Maria Lopez</t>
  </si>
  <si>
    <t>Operario de Envasado</t>
  </si>
  <si>
    <t>Pedro Ramirez</t>
  </si>
  <si>
    <t>Chofer</t>
  </si>
  <si>
    <t>Ana Garcia</t>
  </si>
  <si>
    <t>Contador</t>
  </si>
  <si>
    <t>Carlos Vargas</t>
  </si>
  <si>
    <t>Jefe de Producción</t>
  </si>
  <si>
    <t>Sofia Castro</t>
  </si>
  <si>
    <t>Asistente de Marketing</t>
  </si>
  <si>
    <t>Luis Martinez</t>
  </si>
  <si>
    <t>Técnico de Mantenimiento</t>
  </si>
  <si>
    <t>Fecha de Contratación</t>
  </si>
  <si>
    <t>salario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</si>
</sst>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384175</xdr:colOff>
      <xdr:row>0</xdr:row>
      <xdr:rowOff>82550</xdr:rowOff>
    </xdr:from>
    <xdr:to>
      <xdr:col>15</xdr:col>
      <xdr:colOff>504825</xdr:colOff>
      <xdr:row>4</xdr:row>
      <xdr:rowOff>90488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B711803-83AE-4522-90AA-B3DC914611C9}"/>
            </a:ext>
          </a:extLst>
        </xdr:cNvPr>
        <xdr:cNvSpPr txBox="1"/>
      </xdr:nvSpPr>
      <xdr:spPr>
        <a:xfrm>
          <a:off x="10861675" y="82550"/>
          <a:ext cx="1644650" cy="7699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Referencias de Celdas.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18D2-F0E9-4035-B02E-5B8D7FB7DA38}">
  <dimension ref="B5:F21"/>
  <sheetViews>
    <sheetView zoomScaleNormal="100" workbookViewId="0">
      <selection activeCell="G16" sqref="G16"/>
    </sheetView>
  </sheetViews>
  <sheetFormatPr baseColWidth="10" defaultRowHeight="15" x14ac:dyDescent="0.25"/>
  <cols>
    <col min="2" max="2" width="18.42578125" bestFit="1" customWidth="1"/>
    <col min="4" max="4" width="7.42578125" bestFit="1" customWidth="1"/>
    <col min="5" max="5" width="21" bestFit="1" customWidth="1"/>
    <col min="6" max="6" width="7.42578125" bestFit="1" customWidth="1"/>
  </cols>
  <sheetData>
    <row r="5" spans="2:6" x14ac:dyDescent="0.25">
      <c r="B5" t="s">
        <v>0</v>
      </c>
      <c r="E5" t="s">
        <v>17</v>
      </c>
    </row>
    <row r="6" spans="2:6" x14ac:dyDescent="0.25">
      <c r="B6" t="s">
        <v>1</v>
      </c>
      <c r="E6" t="s">
        <v>18</v>
      </c>
    </row>
    <row r="7" spans="2:6" x14ac:dyDescent="0.25">
      <c r="B7" t="s">
        <v>2</v>
      </c>
      <c r="C7" t="s">
        <v>3</v>
      </c>
      <c r="E7" t="s">
        <v>19</v>
      </c>
      <c r="F7" t="s">
        <v>20</v>
      </c>
    </row>
    <row r="8" spans="2:6" x14ac:dyDescent="0.25">
      <c r="B8" t="s">
        <v>4</v>
      </c>
      <c r="C8" t="s">
        <v>5</v>
      </c>
      <c r="E8" t="s">
        <v>21</v>
      </c>
      <c r="F8" t="s">
        <v>3</v>
      </c>
    </row>
    <row r="9" spans="2:6" x14ac:dyDescent="0.25">
      <c r="B9" t="s">
        <v>6</v>
      </c>
      <c r="C9" t="s">
        <v>7</v>
      </c>
      <c r="F9" t="s">
        <v>5</v>
      </c>
    </row>
    <row r="10" spans="2:6" x14ac:dyDescent="0.25">
      <c r="C10" t="s">
        <v>8</v>
      </c>
      <c r="E10" t="s">
        <v>22</v>
      </c>
    </row>
    <row r="11" spans="2:6" x14ac:dyDescent="0.25">
      <c r="B11" t="s">
        <v>9</v>
      </c>
      <c r="E11" t="s">
        <v>23</v>
      </c>
      <c r="F11" t="s">
        <v>7</v>
      </c>
    </row>
    <row r="12" spans="2:6" x14ac:dyDescent="0.25">
      <c r="B12" t="s">
        <v>10</v>
      </c>
      <c r="C12" t="s">
        <v>11</v>
      </c>
      <c r="F12" t="s">
        <v>7</v>
      </c>
    </row>
    <row r="13" spans="2:6" x14ac:dyDescent="0.25">
      <c r="B13" t="s">
        <v>12</v>
      </c>
      <c r="C13" t="s">
        <v>13</v>
      </c>
      <c r="E13" t="s">
        <v>24</v>
      </c>
      <c r="F13" t="s">
        <v>25</v>
      </c>
    </row>
    <row r="14" spans="2:6" x14ac:dyDescent="0.25">
      <c r="C14" t="s">
        <v>14</v>
      </c>
    </row>
    <row r="15" spans="2:6" x14ac:dyDescent="0.25">
      <c r="B15" t="s">
        <v>15</v>
      </c>
      <c r="C15" t="s">
        <v>16</v>
      </c>
    </row>
    <row r="18" spans="3:4" x14ac:dyDescent="0.25">
      <c r="C18" t="s">
        <v>26</v>
      </c>
    </row>
    <row r="19" spans="3:4" x14ac:dyDescent="0.25">
      <c r="C19" t="s">
        <v>27</v>
      </c>
      <c r="D19" t="s">
        <v>11</v>
      </c>
    </row>
    <row r="20" spans="3:4" x14ac:dyDescent="0.25">
      <c r="C20" t="s">
        <v>28</v>
      </c>
      <c r="D20" t="s">
        <v>29</v>
      </c>
    </row>
    <row r="21" spans="3:4" x14ac:dyDescent="0.25">
      <c r="D21" t="s">
        <v>30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011A-B6F7-4CE4-9BD8-D656D214CB88}">
  <dimension ref="B2:F15"/>
  <sheetViews>
    <sheetView zoomScaleNormal="100" workbookViewId="0">
      <selection activeCell="H17" sqref="H17"/>
    </sheetView>
  </sheetViews>
  <sheetFormatPr baseColWidth="10" defaultRowHeight="15" x14ac:dyDescent="0.25"/>
  <cols>
    <col min="2" max="3" width="11.42578125" customWidth="1"/>
    <col min="5" max="5" width="11.42578125" customWidth="1"/>
  </cols>
  <sheetData>
    <row r="2" spans="2:6" x14ac:dyDescent="0.25">
      <c r="B2" s="8"/>
      <c r="C2" s="8"/>
      <c r="D2" s="8"/>
      <c r="E2" s="8"/>
      <c r="F2" s="2"/>
    </row>
    <row r="5" spans="2:6" x14ac:dyDescent="0.25">
      <c r="B5" s="4"/>
      <c r="C5" s="4"/>
      <c r="D5" s="4"/>
      <c r="E5" s="4"/>
    </row>
    <row r="6" spans="2:6" x14ac:dyDescent="0.25">
      <c r="B6" s="5"/>
      <c r="C6" s="5"/>
      <c r="D6" s="5"/>
      <c r="E6" s="5"/>
    </row>
    <row r="7" spans="2:6" x14ac:dyDescent="0.25">
      <c r="C7" s="6"/>
      <c r="F7" s="6"/>
    </row>
    <row r="8" spans="2:6" x14ac:dyDescent="0.25">
      <c r="C8" s="6"/>
      <c r="F8" s="6"/>
    </row>
    <row r="9" spans="2:6" x14ac:dyDescent="0.25">
      <c r="C9" s="6"/>
      <c r="F9" s="6"/>
    </row>
    <row r="10" spans="2:6" x14ac:dyDescent="0.25">
      <c r="C10" s="6"/>
      <c r="E10" s="5"/>
      <c r="F10" s="6"/>
    </row>
    <row r="11" spans="2:6" x14ac:dyDescent="0.25">
      <c r="B11" s="5"/>
      <c r="C11" s="6"/>
      <c r="F11" s="6"/>
    </row>
    <row r="12" spans="2:6" x14ac:dyDescent="0.25">
      <c r="C12" s="6"/>
      <c r="F12" s="6"/>
    </row>
    <row r="13" spans="2:6" x14ac:dyDescent="0.25">
      <c r="C13" s="6"/>
      <c r="E13" s="3"/>
      <c r="F13" s="6"/>
    </row>
    <row r="14" spans="2:6" x14ac:dyDescent="0.25">
      <c r="C14" s="6"/>
      <c r="F14" s="6"/>
    </row>
    <row r="15" spans="2:6" x14ac:dyDescent="0.25">
      <c r="B15" s="3"/>
      <c r="C15" s="7"/>
      <c r="F1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D4A9-8738-445E-B8A8-4EFE762F7FD9}">
  <dimension ref="B5:E21"/>
  <sheetViews>
    <sheetView workbookViewId="0">
      <selection activeCell="C10" sqref="C10"/>
    </sheetView>
  </sheetViews>
  <sheetFormatPr baseColWidth="10" defaultRowHeight="15" x14ac:dyDescent="0.25"/>
  <sheetData>
    <row r="5" spans="2:5" x14ac:dyDescent="0.25">
      <c r="B5" t="s">
        <v>31</v>
      </c>
      <c r="C5" t="s">
        <v>32</v>
      </c>
      <c r="D5" t="s">
        <v>33</v>
      </c>
      <c r="E5" t="s">
        <v>34</v>
      </c>
    </row>
    <row r="6" spans="2:5" x14ac:dyDescent="0.25">
      <c r="B6" t="s">
        <v>35</v>
      </c>
      <c r="C6">
        <v>2</v>
      </c>
      <c r="D6" t="s">
        <v>36</v>
      </c>
      <c r="E6" t="s">
        <v>37</v>
      </c>
    </row>
    <row r="7" spans="2:5" x14ac:dyDescent="0.25">
      <c r="B7" t="s">
        <v>38</v>
      </c>
      <c r="C7">
        <v>3</v>
      </c>
      <c r="D7" t="s">
        <v>39</v>
      </c>
      <c r="E7" t="s">
        <v>40</v>
      </c>
    </row>
    <row r="8" spans="2:5" x14ac:dyDescent="0.25">
      <c r="B8" t="s">
        <v>41</v>
      </c>
      <c r="C8">
        <v>5</v>
      </c>
      <c r="D8" t="s">
        <v>42</v>
      </c>
      <c r="E8" t="s">
        <v>37</v>
      </c>
    </row>
    <row r="9" spans="2:5" x14ac:dyDescent="0.25">
      <c r="B9" t="s">
        <v>43</v>
      </c>
      <c r="C9">
        <v>5</v>
      </c>
      <c r="D9" t="s">
        <v>37</v>
      </c>
      <c r="E9" t="s">
        <v>37</v>
      </c>
    </row>
    <row r="10" spans="2:5" x14ac:dyDescent="0.25">
      <c r="B10" t="s">
        <v>44</v>
      </c>
      <c r="C10">
        <v>2</v>
      </c>
      <c r="D10" t="s">
        <v>45</v>
      </c>
      <c r="E10" t="s">
        <v>46</v>
      </c>
    </row>
    <row r="11" spans="2:5" x14ac:dyDescent="0.25">
      <c r="B11" t="s">
        <v>47</v>
      </c>
      <c r="C11">
        <v>1</v>
      </c>
      <c r="D11" t="s">
        <v>48</v>
      </c>
      <c r="E11" t="s">
        <v>48</v>
      </c>
    </row>
    <row r="13" spans="2:5" x14ac:dyDescent="0.25">
      <c r="B13" t="s">
        <v>34</v>
      </c>
      <c r="E13" t="s">
        <v>49</v>
      </c>
    </row>
    <row r="14" spans="2:5" x14ac:dyDescent="0.25">
      <c r="B14" t="s">
        <v>50</v>
      </c>
      <c r="E14" t="s">
        <v>51</v>
      </c>
    </row>
    <row r="16" spans="2:5" x14ac:dyDescent="0.25">
      <c r="B16" t="s">
        <v>52</v>
      </c>
      <c r="E16" t="s">
        <v>53</v>
      </c>
    </row>
    <row r="17" spans="2:5" x14ac:dyDescent="0.25">
      <c r="B17" t="s">
        <v>54</v>
      </c>
      <c r="E17" t="s">
        <v>55</v>
      </c>
    </row>
    <row r="19" spans="2:5" x14ac:dyDescent="0.25">
      <c r="B19" t="s">
        <v>56</v>
      </c>
      <c r="E19" t="s">
        <v>57</v>
      </c>
    </row>
    <row r="20" spans="2:5" x14ac:dyDescent="0.25">
      <c r="B20" t="s">
        <v>58</v>
      </c>
    </row>
    <row r="21" spans="2:5" x14ac:dyDescent="0.25">
      <c r="B21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AC32-C6A7-4138-AAF5-E9250E777476}">
  <dimension ref="B8:F15"/>
  <sheetViews>
    <sheetView topLeftCell="A3" workbookViewId="0">
      <selection activeCell="F9" sqref="F9:F14"/>
    </sheetView>
  </sheetViews>
  <sheetFormatPr baseColWidth="10" defaultRowHeight="15" x14ac:dyDescent="0.25"/>
  <sheetData>
    <row r="8" spans="2:6" x14ac:dyDescent="0.25">
      <c r="B8" t="str" cm="1">
        <f t="array" ref="B8:B14">productos</f>
        <v>Producto</v>
      </c>
      <c r="F8" t="str" cm="1">
        <f t="array" ref="F8:F14">Hoja4!C5:C11</f>
        <v>Cantidad</v>
      </c>
    </row>
    <row r="9" spans="2:6" x14ac:dyDescent="0.25">
      <c r="B9" t="str">
        <v>Bolígrafos (paquete 10 unidades)</v>
      </c>
      <c r="F9">
        <v>2</v>
      </c>
    </row>
    <row r="10" spans="2:6" x14ac:dyDescent="0.25">
      <c r="B10" t="str">
        <v>Bloc de notas (pack de 5)</v>
      </c>
      <c r="F10">
        <v>3</v>
      </c>
    </row>
    <row r="11" spans="2:6" x14ac:dyDescent="0.25">
      <c r="B11" t="str">
        <v>Carpetas (unidad)</v>
      </c>
      <c r="F11">
        <v>5</v>
      </c>
    </row>
    <row r="12" spans="2:6" x14ac:dyDescent="0.25">
      <c r="B12" s="3" t="str">
        <v>Calculadora básica</v>
      </c>
      <c r="F12">
        <v>5</v>
      </c>
    </row>
    <row r="13" spans="2:6" x14ac:dyDescent="0.25">
      <c r="B13" t="str">
        <v>Papel de impresión (paquete 500 hojas)</v>
      </c>
      <c r="F13">
        <v>2</v>
      </c>
    </row>
    <row r="14" spans="2:6" x14ac:dyDescent="0.25">
      <c r="B14" t="str">
        <v>Clips metálicos (caja de 100 unidades)</v>
      </c>
      <c r="F14">
        <v>1</v>
      </c>
    </row>
    <row r="15" spans="2:6" x14ac:dyDescent="0.25">
      <c r="F15">
        <f>SUM(F9:F14)</f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A999-6BA8-44D9-86FC-83808EF49F35}">
  <dimension ref="B4:M11"/>
  <sheetViews>
    <sheetView workbookViewId="0">
      <selection activeCell="M2" sqref="M2"/>
    </sheetView>
  </sheetViews>
  <sheetFormatPr baseColWidth="10" defaultRowHeight="15" x14ac:dyDescent="0.25"/>
  <cols>
    <col min="13" max="13" width="35.42578125" customWidth="1"/>
  </cols>
  <sheetData>
    <row r="4" spans="2:13" x14ac:dyDescent="0.25"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83</v>
      </c>
      <c r="L4" t="s">
        <v>84</v>
      </c>
    </row>
    <row r="5" spans="2:13" x14ac:dyDescent="0.25">
      <c r="B5" t="s">
        <v>69</v>
      </c>
      <c r="C5" t="s">
        <v>70</v>
      </c>
      <c r="D5" s="1">
        <v>15000</v>
      </c>
      <c r="E5">
        <v>10</v>
      </c>
      <c r="F5">
        <v>100</v>
      </c>
      <c r="G5" s="1">
        <v>1000</v>
      </c>
      <c r="H5" s="1">
        <v>16000</v>
      </c>
      <c r="I5" s="1">
        <v>1500</v>
      </c>
      <c r="J5" s="1">
        <v>2400</v>
      </c>
      <c r="K5" s="2">
        <v>44696</v>
      </c>
    </row>
    <row r="6" spans="2:13" x14ac:dyDescent="0.25">
      <c r="B6" t="s">
        <v>71</v>
      </c>
      <c r="C6" t="s">
        <v>72</v>
      </c>
      <c r="D6" s="1">
        <v>10000</v>
      </c>
      <c r="E6">
        <v>5</v>
      </c>
      <c r="F6">
        <v>80</v>
      </c>
      <c r="G6">
        <v>400</v>
      </c>
      <c r="H6" s="1">
        <v>10400</v>
      </c>
      <c r="I6" s="1">
        <v>1000</v>
      </c>
      <c r="J6" s="1">
        <v>1200</v>
      </c>
      <c r="K6" s="2">
        <v>44977</v>
      </c>
      <c r="M6" s="2"/>
    </row>
    <row r="7" spans="2:13" x14ac:dyDescent="0.25">
      <c r="B7" t="s">
        <v>73</v>
      </c>
      <c r="C7" t="s">
        <v>74</v>
      </c>
      <c r="D7" s="1">
        <v>12000</v>
      </c>
      <c r="E7">
        <v>8</v>
      </c>
      <c r="F7">
        <v>90</v>
      </c>
      <c r="G7">
        <v>720</v>
      </c>
      <c r="H7" s="1">
        <v>12720</v>
      </c>
      <c r="I7" s="1">
        <v>1200</v>
      </c>
      <c r="J7" s="1">
        <v>1600</v>
      </c>
      <c r="K7" s="2">
        <v>44510</v>
      </c>
    </row>
    <row r="8" spans="2:13" x14ac:dyDescent="0.25">
      <c r="B8" t="s">
        <v>75</v>
      </c>
      <c r="C8" t="s">
        <v>76</v>
      </c>
      <c r="D8" s="1">
        <v>20000</v>
      </c>
      <c r="E8">
        <v>0</v>
      </c>
      <c r="F8">
        <v>0</v>
      </c>
      <c r="G8">
        <v>0</v>
      </c>
      <c r="H8" s="1">
        <v>20000</v>
      </c>
      <c r="I8" s="1">
        <v>2000</v>
      </c>
      <c r="J8" s="1">
        <v>3200</v>
      </c>
      <c r="K8" s="2">
        <v>44079</v>
      </c>
    </row>
    <row r="9" spans="2:13" x14ac:dyDescent="0.25">
      <c r="B9" t="s">
        <v>77</v>
      </c>
      <c r="C9" t="s">
        <v>78</v>
      </c>
      <c r="D9" s="1">
        <v>25000</v>
      </c>
      <c r="E9">
        <v>12</v>
      </c>
      <c r="F9">
        <v>120</v>
      </c>
      <c r="G9" s="1">
        <v>1440</v>
      </c>
      <c r="H9" s="1">
        <v>26440</v>
      </c>
      <c r="I9" s="1">
        <v>2500</v>
      </c>
      <c r="J9" s="1">
        <v>4800</v>
      </c>
      <c r="K9" s="2">
        <v>43658</v>
      </c>
    </row>
    <row r="10" spans="2:13" x14ac:dyDescent="0.25">
      <c r="B10" t="s">
        <v>79</v>
      </c>
      <c r="C10" t="s">
        <v>80</v>
      </c>
      <c r="D10" s="1">
        <v>11000</v>
      </c>
      <c r="E10">
        <v>4</v>
      </c>
      <c r="F10">
        <v>75</v>
      </c>
      <c r="G10">
        <v>300</v>
      </c>
      <c r="H10" s="1">
        <v>11300</v>
      </c>
      <c r="I10" s="1">
        <v>1100</v>
      </c>
      <c r="J10" s="1">
        <v>1320</v>
      </c>
      <c r="K10" s="2">
        <v>45168</v>
      </c>
    </row>
    <row r="11" spans="2:13" x14ac:dyDescent="0.25">
      <c r="B11" t="s">
        <v>81</v>
      </c>
      <c r="C11" t="s">
        <v>82</v>
      </c>
      <c r="D11" s="1">
        <v>13500</v>
      </c>
      <c r="E11">
        <v>6</v>
      </c>
      <c r="F11">
        <v>85</v>
      </c>
      <c r="G11">
        <v>510</v>
      </c>
      <c r="H11" s="1">
        <v>14010</v>
      </c>
      <c r="I11" s="1">
        <v>1350</v>
      </c>
      <c r="J11" s="1">
        <v>1800</v>
      </c>
      <c r="K11" s="2">
        <v>44654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7022-3DFB-41DF-B647-DCF6DC4CC79D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Hoja2</vt:lpstr>
      <vt:lpstr>Hoja3</vt:lpstr>
      <vt:lpstr>Hoja4</vt:lpstr>
      <vt:lpstr>Hoja5</vt:lpstr>
      <vt:lpstr>Hoja6</vt:lpstr>
      <vt:lpstr>Hoja7</vt:lpstr>
      <vt:lpstr>Activo_Total</vt:lpstr>
      <vt:lpstr>productos</vt:lpstr>
      <vt:lpstr>Total_Act_Circ</vt:lpstr>
      <vt:lpstr>Total_Act_NOcirc</vt:lpstr>
      <vt:lpstr>TPasivo_Circ</vt:lpstr>
      <vt:lpstr>TPasivo_NOcirc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AntonioAguirre</dc:creator>
  <cp:lastModifiedBy>Guillermo AntonioAguirre</cp:lastModifiedBy>
  <cp:lastPrinted>2024-02-24T20:14:17Z</cp:lastPrinted>
  <dcterms:created xsi:type="dcterms:W3CDTF">2024-02-22T00:12:52Z</dcterms:created>
  <dcterms:modified xsi:type="dcterms:W3CDTF">2024-03-01T17:25:25Z</dcterms:modified>
</cp:coreProperties>
</file>