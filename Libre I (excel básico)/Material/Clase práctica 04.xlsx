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Libre I (excel básico)/Material/"/>
    </mc:Choice>
  </mc:AlternateContent>
  <xr:revisionPtr revIDLastSave="18" documentId="11_AD4D2F04E46CFB4ACB3E20AD4550C456683EDF1E" xr6:coauthVersionLast="47" xr6:coauthVersionMax="47" xr10:uidLastSave="{CC0C02DC-894A-4AD0-B27F-9C5639A8E582}"/>
  <bookViews>
    <workbookView xWindow="-120" yWindow="-120" windowWidth="29040" windowHeight="15720" xr2:uid="{00000000-000D-0000-FFFF-FFFF00000000}"/>
  </bookViews>
  <sheets>
    <sheet name="Ejemplo" sheetId="1" r:id="rId1"/>
    <sheet name="Ejercicio" sheetId="2" r:id="rId2"/>
    <sheet name="Evaluació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3" l="1"/>
  <c r="F5" i="3" s="1"/>
  <c r="F4" i="2"/>
  <c r="F5" i="2" s="1"/>
  <c r="F6" i="2" s="1"/>
  <c r="F7" i="2" s="1"/>
  <c r="F8" i="2" s="1"/>
  <c r="H5" i="1"/>
  <c r="H6" i="1" s="1"/>
  <c r="H7" i="1" s="1"/>
  <c r="H8" i="1" s="1"/>
  <c r="H9" i="1" s="1"/>
  <c r="H10" i="1" s="1"/>
  <c r="F6" i="3" l="1"/>
  <c r="F7" i="3" s="1"/>
  <c r="F8" i="3" s="1"/>
</calcChain>
</file>

<file path=xl/sharedStrings.xml><?xml version="1.0" encoding="utf-8"?>
<sst xmlns="http://schemas.openxmlformats.org/spreadsheetml/2006/main" count="99" uniqueCount="71">
  <si>
    <t>Nombre</t>
  </si>
  <si>
    <t>Apellido</t>
  </si>
  <si>
    <t>Nacionalidad</t>
  </si>
  <si>
    <t>Estatura (m)</t>
  </si>
  <si>
    <t>Peso (kg)</t>
  </si>
  <si>
    <t>IMC</t>
  </si>
  <si>
    <t>Juan</t>
  </si>
  <si>
    <t>Pérez</t>
  </si>
  <si>
    <t>Mexicana</t>
  </si>
  <si>
    <t>María</t>
  </si>
  <si>
    <t>García</t>
  </si>
  <si>
    <t>Española</t>
  </si>
  <si>
    <t>Ahmed</t>
  </si>
  <si>
    <t>Ali</t>
  </si>
  <si>
    <t>Egipcia</t>
  </si>
  <si>
    <t>Li</t>
  </si>
  <si>
    <t>Chen</t>
  </si>
  <si>
    <t>China</t>
  </si>
  <si>
    <t>Anna</t>
  </si>
  <si>
    <t>Smith</t>
  </si>
  <si>
    <t>Americana</t>
  </si>
  <si>
    <t>Categoría</t>
  </si>
  <si>
    <t>IMC Mínimo</t>
  </si>
  <si>
    <t>IMC Máximo</t>
  </si>
  <si>
    <t>Bajo peso</t>
  </si>
  <si>
    <t>Peso normal</t>
  </si>
  <si>
    <t>Sobrepeso</t>
  </si>
  <si>
    <t>Obesidad</t>
  </si>
  <si>
    <t>Obesidad extrema</t>
  </si>
  <si>
    <t>Infinito</t>
  </si>
  <si>
    <t>Estatura Promedio (m)</t>
  </si>
  <si>
    <t>Mohamed</t>
  </si>
  <si>
    <t>Oman</t>
  </si>
  <si>
    <t>Pakistan</t>
  </si>
  <si>
    <t>Nombres con</t>
  </si>
  <si>
    <t>útimo pesaje</t>
  </si>
  <si>
    <t>Edad</t>
  </si>
  <si>
    <t>Género</t>
  </si>
  <si>
    <t>Promedio</t>
  </si>
  <si>
    <t>M</t>
  </si>
  <si>
    <t>F</t>
  </si>
  <si>
    <t>Edad Mínima</t>
  </si>
  <si>
    <t>Edad Máxima</t>
  </si>
  <si>
    <t>Adolescente</t>
  </si>
  <si>
    <t>Joven Adulto</t>
  </si>
  <si>
    <t>Adulto</t>
  </si>
  <si>
    <t>Adulto Mayor</t>
  </si>
  <si>
    <t>Promedio Mínimo</t>
  </si>
  <si>
    <t>Fecha de Evaluación</t>
  </si>
  <si>
    <t>letra</t>
  </si>
  <si>
    <t>Producto</t>
  </si>
  <si>
    <t>Precio</t>
  </si>
  <si>
    <t>Stock</t>
  </si>
  <si>
    <t>Camiseta</t>
  </si>
  <si>
    <t>Ropa</t>
  </si>
  <si>
    <t>Laptop</t>
  </si>
  <si>
    <t>Electrónica</t>
  </si>
  <si>
    <t>Libreta</t>
  </si>
  <si>
    <t>Papelería</t>
  </si>
  <si>
    <t>Zapatos</t>
  </si>
  <si>
    <t>Smartphone</t>
  </si>
  <si>
    <t>Precio Mínimo</t>
  </si>
  <si>
    <t>Precio Máximo</t>
  </si>
  <si>
    <t>Rango de Stock</t>
  </si>
  <si>
    <t>Stock Mínimo</t>
  </si>
  <si>
    <t>Stock Máximo</t>
  </si>
  <si>
    <t>Bajo</t>
  </si>
  <si>
    <t>Medio</t>
  </si>
  <si>
    <t>Alto</t>
  </si>
  <si>
    <t>Última Actualización</t>
  </si>
  <si>
    <t>Letra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</si>
</sst>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600076</xdr:colOff>
      <xdr:row>0</xdr:row>
      <xdr:rowOff>47624</xdr:rowOff>
    </xdr:from>
    <xdr:to>
      <xdr:col>18</xdr:col>
      <xdr:colOff>598716</xdr:colOff>
      <xdr:row>18</xdr:row>
      <xdr:rowOff>136071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F9594F3-3766-4C47-8C10-636741CAB6D4}"/>
            </a:ext>
          </a:extLst>
        </xdr:cNvPr>
        <xdr:cNvSpPr txBox="1"/>
      </xdr:nvSpPr>
      <xdr:spPr>
        <a:xfrm>
          <a:off x="7954737" y="47624"/>
          <a:ext cx="3672568" cy="35174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Formato Condicional.</a:t>
          </a:r>
        </a:p>
        <a:p>
          <a:r>
            <a:rPr lang="es-NI" sz="1100"/>
            <a:t>Reglas para resaltar celdas</a:t>
          </a:r>
        </a:p>
        <a:p>
          <a:r>
            <a:rPr lang="es-NI" sz="1100"/>
            <a:t>Reglas: </a:t>
          </a:r>
        </a:p>
        <a:p>
          <a:r>
            <a:rPr lang="es-NI" sz="1100"/>
            <a:t>Calcular</a:t>
          </a:r>
          <a:r>
            <a:rPr lang="es-NI" sz="1100" baseline="0"/>
            <a:t> IMC</a:t>
          </a:r>
          <a:endParaRPr lang="es-NI" sz="1100"/>
        </a:p>
        <a:p>
          <a:r>
            <a:rPr lang="es-NI" sz="1100"/>
            <a:t>Si el IMC corresponde al rango de peso normal, se resaltará en color verde.</a:t>
          </a:r>
        </a:p>
        <a:p>
          <a:r>
            <a:rPr lang="es-NI" sz="1100"/>
            <a:t>En caso de que el IMC sea más bajo que el rango normal, el fondo se mostrará en rojo y la letra en amarillo.</a:t>
          </a:r>
        </a:p>
        <a:p>
          <a:r>
            <a:rPr lang="es-NI" sz="1100"/>
            <a:t>Si el IMC es más alto que el rango normal, el fondo se mostrará en amarillo y la letra en rojo.</a:t>
          </a:r>
        </a:p>
        <a:p>
          <a:r>
            <a:rPr lang="es-NI" sz="1100"/>
            <a:t>Si la estatura es mayor que el promedio de su nacionalidad, se resaltará en azul.</a:t>
          </a:r>
        </a:p>
        <a:p>
          <a:r>
            <a:rPr lang="es-NI" sz="1100"/>
            <a:t>Si la estatura es menor que el promedio de su nacionalidad, se resaltará en naranja.</a:t>
          </a:r>
        </a:p>
        <a:p>
          <a:r>
            <a:rPr lang="es-NI" sz="1100"/>
            <a:t>Además, los nombres que tengan letras escritas en la celda K4 se mostrarán en rojo. Aquellos que se pesaron ayer se destacarán en verde."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19050</xdr:rowOff>
    </xdr:from>
    <xdr:to>
      <xdr:col>16</xdr:col>
      <xdr:colOff>285750</xdr:colOff>
      <xdr:row>17</xdr:row>
      <xdr:rowOff>95250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AFA2DAF-FFCF-4024-A1EC-F04A431210DB}"/>
            </a:ext>
          </a:extLst>
        </xdr:cNvPr>
        <xdr:cNvSpPr txBox="1"/>
      </xdr:nvSpPr>
      <xdr:spPr>
        <a:xfrm>
          <a:off x="8391525" y="209550"/>
          <a:ext cx="4086225" cy="312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La</a:t>
          </a:r>
          <a:r>
            <a:rPr lang="es-NI" sz="1100" baseline="0"/>
            <a:t> colunma donde se debe aplicar la regla, es la columna citada en la indicación</a:t>
          </a:r>
          <a:endParaRPr lang="es-NI" sz="1100"/>
        </a:p>
        <a:p>
          <a:endParaRPr lang="es-NI" sz="1100"/>
        </a:p>
        <a:p>
          <a:r>
            <a:rPr lang="es-NI" sz="1100"/>
            <a:t>Resaltar en Azul: Si la edad está en la categoría "Adolescente".</a:t>
          </a:r>
        </a:p>
        <a:p>
          <a:r>
            <a:rPr lang="es-NI" sz="1100"/>
            <a:t>Resaltar en Verde: Si la edad está en la categoría "Joven Adulto".</a:t>
          </a:r>
        </a:p>
        <a:p>
          <a:r>
            <a:rPr lang="es-NI" sz="1100"/>
            <a:t>Resaltar en Naranja: Si la edad está en la categoría "Adulto".</a:t>
          </a:r>
        </a:p>
        <a:p>
          <a:r>
            <a:rPr lang="es-NI" sz="1100"/>
            <a:t>Resaltar en Amarillo: Si la edad está en la categoría "Adulto Mayor".</a:t>
          </a:r>
        </a:p>
        <a:p>
          <a:r>
            <a:rPr lang="es-NI" sz="1100"/>
            <a:t>Resaltar en Verde y Negrita: Si el promedio es mayor o igual al promedio mínimo correspondiente a su género en la tabla de Promedios Mínimos por Género.</a:t>
          </a:r>
        </a:p>
        <a:p>
          <a:r>
            <a:rPr lang="es-NI" sz="1100"/>
            <a:t>Resaltar en Rojo y Cursiva: Si el promedio es menor al promedio mínimo correspondiente a su género en la tabla de Promedios Mínimos por Género.</a:t>
          </a:r>
        </a:p>
        <a:p>
          <a:r>
            <a:rPr lang="es-NI" sz="1100"/>
            <a:t>Resaltar en Verde: Si la fecha de evaluación es igual fue el mes</a:t>
          </a:r>
          <a:r>
            <a:rPr lang="es-NI" sz="1100" baseline="0"/>
            <a:t> pasado</a:t>
          </a:r>
          <a:endParaRPr lang="es-NI" sz="1100"/>
        </a:p>
        <a:p>
          <a:r>
            <a:rPr lang="es-NI" sz="1100"/>
            <a:t>Resaltar en Amarillo: Si el nombre contiene la letra en la casilla C16</a:t>
          </a:r>
        </a:p>
        <a:p>
          <a:endParaRPr lang="es-NI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0</xdr:row>
      <xdr:rowOff>66675</xdr:rowOff>
    </xdr:from>
    <xdr:to>
      <xdr:col>16</xdr:col>
      <xdr:colOff>352425</xdr:colOff>
      <xdr:row>17</xdr:row>
      <xdr:rowOff>152400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2E3C8E6-2922-49A6-A723-5FF4EDC531FB}"/>
            </a:ext>
          </a:extLst>
        </xdr:cNvPr>
        <xdr:cNvSpPr txBox="1"/>
      </xdr:nvSpPr>
      <xdr:spPr>
        <a:xfrm>
          <a:off x="8401050" y="66675"/>
          <a:ext cx="4143375" cy="3324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Condiciones de Formato Condicional:</a:t>
          </a:r>
        </a:p>
        <a:p>
          <a:r>
            <a:rPr lang="es-NI" sz="1100"/>
            <a:t>Resaltar en Verde: Si el precio está dentro del rango mínimo y máximo correspondiente a su categoría en la tabla de Rangos de Precios.</a:t>
          </a:r>
        </a:p>
        <a:p>
          <a:r>
            <a:rPr lang="es-NI" sz="1100"/>
            <a:t>Resaltar en Amarillo: Si el stock está dentro del rango mínimo y máximo correspondiente en la tabla de Rangos de Stock.</a:t>
          </a:r>
        </a:p>
        <a:p>
          <a:r>
            <a:rPr lang="es-NI" sz="1100"/>
            <a:t>Resaltar en Naranja: Si el precio está fuera del rango mínimo y máximo correspondiente a su categoría en la tabla de Rangos de Precios.</a:t>
          </a:r>
        </a:p>
        <a:p>
          <a:r>
            <a:rPr lang="es-NI" sz="1100"/>
            <a:t>Resaltar en Rojo: Si el stock está fuera del rango mínimo y máximo correspondiente en la tabla de Rangos de Stock.</a:t>
          </a:r>
        </a:p>
        <a:p>
          <a:r>
            <a:rPr lang="es-NI" sz="1100"/>
            <a:t>Resaltar en Verde: Si la fecha de última actualización está dentro de los últimos 7 días</a:t>
          </a:r>
        </a:p>
        <a:p>
          <a:r>
            <a:rPr lang="es-NI" sz="1100"/>
            <a:t>Resaltar en Azul: Si el producto contiene la letra en C17</a:t>
          </a:r>
        </a:p>
        <a:p>
          <a:r>
            <a:rPr lang="es-NI" sz="1100"/>
            <a:t>Ajusta</a:t>
          </a:r>
          <a:r>
            <a:rPr lang="es-NI" sz="1100" baseline="0"/>
            <a:t> el ancho de las columnas y agrega bordes a las tablas, los títulos en negrolla y coloca un estilo de celda (predeterminado) en los encabezados</a:t>
          </a:r>
        </a:p>
        <a:p>
          <a:r>
            <a:rPr lang="es-NI" sz="1100" baseline="0"/>
            <a:t>Agrega tipos de datos a todos los datos en la hoja</a:t>
          </a:r>
        </a:p>
        <a:p>
          <a:endParaRPr lang="es-NI" sz="1100"/>
        </a:p>
        <a:p>
          <a:endParaRPr lang="es-NI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K18"/>
  <sheetViews>
    <sheetView tabSelected="1" zoomScale="140" zoomScaleNormal="140" workbookViewId="0">
      <selection activeCell="Q19" sqref="Q19"/>
    </sheetView>
  </sheetViews>
  <sheetFormatPr baseColWidth="10" defaultColWidth="9.140625" defaultRowHeight="15" x14ac:dyDescent="0.25"/>
  <cols>
    <col min="8" max="8" width="9.28515625" customWidth="1"/>
  </cols>
  <sheetData>
    <row r="4" spans="2:11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35</v>
      </c>
      <c r="J4" t="s">
        <v>34</v>
      </c>
    </row>
    <row r="5" spans="2:11" x14ac:dyDescent="0.25">
      <c r="B5" t="s">
        <v>6</v>
      </c>
      <c r="C5" t="s">
        <v>7</v>
      </c>
      <c r="D5" t="s">
        <v>8</v>
      </c>
      <c r="E5">
        <v>1.75</v>
      </c>
      <c r="F5">
        <v>70</v>
      </c>
      <c r="H5" s="1">
        <f ca="1">TODAY()</f>
        <v>45863</v>
      </c>
    </row>
    <row r="6" spans="2:11" x14ac:dyDescent="0.25">
      <c r="B6" t="s">
        <v>9</v>
      </c>
      <c r="C6" t="s">
        <v>10</v>
      </c>
      <c r="D6" t="s">
        <v>11</v>
      </c>
      <c r="E6">
        <v>1.6</v>
      </c>
      <c r="F6">
        <v>65</v>
      </c>
      <c r="H6" s="1">
        <f ca="1">H5-1</f>
        <v>45862</v>
      </c>
    </row>
    <row r="7" spans="2:11" x14ac:dyDescent="0.25">
      <c r="B7" t="s">
        <v>12</v>
      </c>
      <c r="C7" t="s">
        <v>13</v>
      </c>
      <c r="D7" t="s">
        <v>14</v>
      </c>
      <c r="E7">
        <v>1.8</v>
      </c>
      <c r="F7">
        <v>85</v>
      </c>
      <c r="H7" s="1">
        <f t="shared" ref="H7:H10" ca="1" si="0">H6-1</f>
        <v>45861</v>
      </c>
    </row>
    <row r="8" spans="2:11" x14ac:dyDescent="0.25">
      <c r="B8" t="s">
        <v>15</v>
      </c>
      <c r="C8" t="s">
        <v>16</v>
      </c>
      <c r="D8" t="s">
        <v>17</v>
      </c>
      <c r="E8">
        <v>1.65</v>
      </c>
      <c r="F8">
        <v>55</v>
      </c>
      <c r="H8" s="1">
        <f t="shared" ca="1" si="0"/>
        <v>45860</v>
      </c>
    </row>
    <row r="9" spans="2:11" x14ac:dyDescent="0.25">
      <c r="B9" t="s">
        <v>18</v>
      </c>
      <c r="C9" t="s">
        <v>19</v>
      </c>
      <c r="D9" t="s">
        <v>20</v>
      </c>
      <c r="E9">
        <v>1.7</v>
      </c>
      <c r="F9">
        <v>75</v>
      </c>
      <c r="H9" s="1">
        <f t="shared" ca="1" si="0"/>
        <v>45859</v>
      </c>
    </row>
    <row r="10" spans="2:11" x14ac:dyDescent="0.25">
      <c r="B10" t="s">
        <v>31</v>
      </c>
      <c r="C10" t="s">
        <v>32</v>
      </c>
      <c r="D10" t="s">
        <v>33</v>
      </c>
      <c r="E10">
        <v>1.4</v>
      </c>
      <c r="F10">
        <v>67</v>
      </c>
      <c r="H10" s="1">
        <f t="shared" ca="1" si="0"/>
        <v>45858</v>
      </c>
    </row>
    <row r="13" spans="2:11" x14ac:dyDescent="0.25">
      <c r="B13" t="s">
        <v>21</v>
      </c>
      <c r="C13" t="s">
        <v>22</v>
      </c>
      <c r="D13" t="s">
        <v>23</v>
      </c>
      <c r="J13" t="s">
        <v>2</v>
      </c>
      <c r="K13" t="s">
        <v>30</v>
      </c>
    </row>
    <row r="14" spans="2:11" x14ac:dyDescent="0.25">
      <c r="B14" t="s">
        <v>24</v>
      </c>
      <c r="C14">
        <v>0</v>
      </c>
      <c r="D14">
        <v>18.5</v>
      </c>
      <c r="J14" t="s">
        <v>8</v>
      </c>
      <c r="K14">
        <v>1.68</v>
      </c>
    </row>
    <row r="15" spans="2:11" x14ac:dyDescent="0.25">
      <c r="B15" t="s">
        <v>25</v>
      </c>
      <c r="C15">
        <v>18.5</v>
      </c>
      <c r="D15">
        <v>24.9</v>
      </c>
      <c r="J15" t="s">
        <v>11</v>
      </c>
      <c r="K15">
        <v>1.65</v>
      </c>
    </row>
    <row r="16" spans="2:11" x14ac:dyDescent="0.25">
      <c r="B16" t="s">
        <v>26</v>
      </c>
      <c r="C16">
        <v>25</v>
      </c>
      <c r="D16">
        <v>29.9</v>
      </c>
      <c r="J16" t="s">
        <v>14</v>
      </c>
      <c r="K16">
        <v>1.75</v>
      </c>
    </row>
    <row r="17" spans="2:11" x14ac:dyDescent="0.25">
      <c r="B17" t="s">
        <v>27</v>
      </c>
      <c r="C17">
        <v>30</v>
      </c>
      <c r="D17">
        <v>39.9</v>
      </c>
      <c r="J17" t="s">
        <v>17</v>
      </c>
      <c r="K17">
        <v>1.62</v>
      </c>
    </row>
    <row r="18" spans="2:11" x14ac:dyDescent="0.25">
      <c r="B18" t="s">
        <v>28</v>
      </c>
      <c r="C18">
        <v>40</v>
      </c>
      <c r="D18" t="s">
        <v>29</v>
      </c>
      <c r="J18" t="s">
        <v>20</v>
      </c>
      <c r="K18">
        <v>1.73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5210-C806-495B-8872-A3705D680EF6}">
  <dimension ref="B3:J16"/>
  <sheetViews>
    <sheetView workbookViewId="0">
      <selection activeCell="D16" sqref="D16"/>
    </sheetView>
  </sheetViews>
  <sheetFormatPr baseColWidth="10" defaultRowHeight="15" x14ac:dyDescent="0.25"/>
  <sheetData>
    <row r="3" spans="2:10" x14ac:dyDescent="0.25">
      <c r="B3" t="s">
        <v>0</v>
      </c>
      <c r="C3" t="s">
        <v>36</v>
      </c>
      <c r="D3" t="s">
        <v>37</v>
      </c>
      <c r="E3" t="s">
        <v>38</v>
      </c>
      <c r="F3" t="s">
        <v>48</v>
      </c>
      <c r="H3" t="s">
        <v>21</v>
      </c>
      <c r="I3" t="s">
        <v>41</v>
      </c>
      <c r="J3" t="s">
        <v>42</v>
      </c>
    </row>
    <row r="4" spans="2:10" x14ac:dyDescent="0.25">
      <c r="B4" t="s">
        <v>6</v>
      </c>
      <c r="C4">
        <v>18</v>
      </c>
      <c r="D4" t="s">
        <v>39</v>
      </c>
      <c r="E4">
        <v>8.5</v>
      </c>
      <c r="F4" s="1">
        <f ca="1">TODAY()</f>
        <v>45863</v>
      </c>
      <c r="H4" t="s">
        <v>43</v>
      </c>
      <c r="I4">
        <v>13</v>
      </c>
      <c r="J4">
        <v>19</v>
      </c>
    </row>
    <row r="5" spans="2:10" x14ac:dyDescent="0.25">
      <c r="B5" t="s">
        <v>9</v>
      </c>
      <c r="C5">
        <v>20</v>
      </c>
      <c r="D5" t="s">
        <v>40</v>
      </c>
      <c r="E5">
        <v>9.1999999999999993</v>
      </c>
      <c r="F5" s="1">
        <f ca="1">F4-10</f>
        <v>45853</v>
      </c>
      <c r="H5" t="s">
        <v>44</v>
      </c>
      <c r="I5">
        <v>20</v>
      </c>
      <c r="J5">
        <v>29</v>
      </c>
    </row>
    <row r="6" spans="2:10" x14ac:dyDescent="0.25">
      <c r="B6" t="s">
        <v>12</v>
      </c>
      <c r="C6">
        <v>19</v>
      </c>
      <c r="D6" t="s">
        <v>39</v>
      </c>
      <c r="E6">
        <v>7.8</v>
      </c>
      <c r="F6" s="1">
        <f t="shared" ref="F6:F8" ca="1" si="0">F5-10</f>
        <v>45843</v>
      </c>
      <c r="H6" t="s">
        <v>45</v>
      </c>
      <c r="I6">
        <v>30</v>
      </c>
      <c r="J6">
        <v>59</v>
      </c>
    </row>
    <row r="7" spans="2:10" x14ac:dyDescent="0.25">
      <c r="B7" t="s">
        <v>15</v>
      </c>
      <c r="C7">
        <v>21</v>
      </c>
      <c r="D7" t="s">
        <v>40</v>
      </c>
      <c r="E7">
        <v>8</v>
      </c>
      <c r="F7" s="1">
        <f t="shared" ca="1" si="0"/>
        <v>45833</v>
      </c>
      <c r="H7" t="s">
        <v>46</v>
      </c>
      <c r="I7">
        <v>60</v>
      </c>
      <c r="J7" t="s">
        <v>29</v>
      </c>
    </row>
    <row r="8" spans="2:10" x14ac:dyDescent="0.25">
      <c r="B8" t="s">
        <v>18</v>
      </c>
      <c r="C8">
        <v>18</v>
      </c>
      <c r="D8" t="s">
        <v>40</v>
      </c>
      <c r="E8">
        <v>8.6999999999999993</v>
      </c>
      <c r="F8" s="1">
        <f t="shared" ca="1" si="0"/>
        <v>45823</v>
      </c>
    </row>
    <row r="11" spans="2:10" x14ac:dyDescent="0.25">
      <c r="B11" t="s">
        <v>37</v>
      </c>
      <c r="C11" t="s">
        <v>47</v>
      </c>
    </row>
    <row r="12" spans="2:10" x14ac:dyDescent="0.25">
      <c r="B12" t="s">
        <v>39</v>
      </c>
      <c r="C12">
        <v>8</v>
      </c>
    </row>
    <row r="13" spans="2:10" x14ac:dyDescent="0.25">
      <c r="B13" t="s">
        <v>40</v>
      </c>
      <c r="C13">
        <v>8.5</v>
      </c>
    </row>
    <row r="16" spans="2:10" x14ac:dyDescent="0.25">
      <c r="B16" t="s">
        <v>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ECEB-A717-4E03-A218-0EAC63341750}">
  <dimension ref="B3:J17"/>
  <sheetViews>
    <sheetView workbookViewId="0">
      <selection activeCell="F18" sqref="F18"/>
    </sheetView>
  </sheetViews>
  <sheetFormatPr baseColWidth="10" defaultRowHeight="15" x14ac:dyDescent="0.25"/>
  <sheetData>
    <row r="3" spans="2:10" x14ac:dyDescent="0.25">
      <c r="B3" t="s">
        <v>50</v>
      </c>
      <c r="C3" t="s">
        <v>21</v>
      </c>
      <c r="D3" t="s">
        <v>51</v>
      </c>
      <c r="E3" t="s">
        <v>52</v>
      </c>
      <c r="F3" t="s">
        <v>69</v>
      </c>
      <c r="H3" t="s">
        <v>63</v>
      </c>
      <c r="I3" t="s">
        <v>64</v>
      </c>
      <c r="J3" t="s">
        <v>65</v>
      </c>
    </row>
    <row r="4" spans="2:10" x14ac:dyDescent="0.25">
      <c r="B4" t="s">
        <v>53</v>
      </c>
      <c r="C4" t="s">
        <v>54</v>
      </c>
      <c r="D4">
        <v>15.99</v>
      </c>
      <c r="E4">
        <v>50</v>
      </c>
      <c r="F4" s="1">
        <f ca="1">TODAY()</f>
        <v>45863</v>
      </c>
      <c r="H4" t="s">
        <v>66</v>
      </c>
      <c r="I4">
        <v>0</v>
      </c>
      <c r="J4">
        <v>10</v>
      </c>
    </row>
    <row r="5" spans="2:10" x14ac:dyDescent="0.25">
      <c r="B5" t="s">
        <v>55</v>
      </c>
      <c r="C5" t="s">
        <v>56</v>
      </c>
      <c r="D5">
        <v>799.99</v>
      </c>
      <c r="E5">
        <v>10</v>
      </c>
      <c r="F5" s="1">
        <f ca="1">F4-3</f>
        <v>45860</v>
      </c>
      <c r="H5" t="s">
        <v>67</v>
      </c>
      <c r="I5">
        <v>11</v>
      </c>
      <c r="J5">
        <v>50</v>
      </c>
    </row>
    <row r="6" spans="2:10" x14ac:dyDescent="0.25">
      <c r="B6" t="s">
        <v>57</v>
      </c>
      <c r="C6" t="s">
        <v>58</v>
      </c>
      <c r="D6">
        <v>2.4900000000000002</v>
      </c>
      <c r="E6">
        <v>100</v>
      </c>
      <c r="F6" s="1">
        <f t="shared" ref="F6:F8" ca="1" si="0">F5-2</f>
        <v>45858</v>
      </c>
      <c r="H6" t="s">
        <v>68</v>
      </c>
      <c r="I6">
        <v>51</v>
      </c>
      <c r="J6" t="s">
        <v>29</v>
      </c>
    </row>
    <row r="7" spans="2:10" x14ac:dyDescent="0.25">
      <c r="B7" t="s">
        <v>59</v>
      </c>
      <c r="C7" t="s">
        <v>54</v>
      </c>
      <c r="D7">
        <v>49.99</v>
      </c>
      <c r="E7">
        <v>20</v>
      </c>
      <c r="F7" s="1">
        <f t="shared" ca="1" si="0"/>
        <v>45856</v>
      </c>
    </row>
    <row r="8" spans="2:10" x14ac:dyDescent="0.25">
      <c r="B8" t="s">
        <v>60</v>
      </c>
      <c r="C8" t="s">
        <v>56</v>
      </c>
      <c r="D8">
        <v>499.99</v>
      </c>
      <c r="E8">
        <v>5</v>
      </c>
      <c r="F8" s="1">
        <f t="shared" ca="1" si="0"/>
        <v>45854</v>
      </c>
    </row>
    <row r="11" spans="2:10" x14ac:dyDescent="0.25">
      <c r="B11" t="s">
        <v>21</v>
      </c>
      <c r="C11" t="s">
        <v>61</v>
      </c>
      <c r="D11" t="s">
        <v>62</v>
      </c>
    </row>
    <row r="12" spans="2:10" x14ac:dyDescent="0.25">
      <c r="B12" t="s">
        <v>54</v>
      </c>
      <c r="C12">
        <v>0</v>
      </c>
      <c r="D12">
        <v>50</v>
      </c>
    </row>
    <row r="13" spans="2:10" x14ac:dyDescent="0.25">
      <c r="B13" t="s">
        <v>56</v>
      </c>
      <c r="C13">
        <v>100</v>
      </c>
      <c r="D13">
        <v>1000</v>
      </c>
    </row>
    <row r="14" spans="2:10" x14ac:dyDescent="0.25">
      <c r="B14" t="s">
        <v>58</v>
      </c>
      <c r="C14">
        <v>1</v>
      </c>
      <c r="D14">
        <v>5</v>
      </c>
    </row>
    <row r="17" spans="2:2" x14ac:dyDescent="0.25">
      <c r="B17" t="s"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Ejemplo</vt:lpstr>
      <vt:lpstr>Ejercicio</vt:lpstr>
      <vt:lpstr>Evaluación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</dc:creator>
  <cp:lastModifiedBy>Guillermo AntonioAguirre</cp:lastModifiedBy>
  <dcterms:created xsi:type="dcterms:W3CDTF">2015-06-05T18:19:34Z</dcterms:created>
  <dcterms:modified xsi:type="dcterms:W3CDTF">2025-07-25T16:06:31Z</dcterms:modified>
</cp:coreProperties>
</file>