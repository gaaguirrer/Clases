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Libre I (excel básico)/Material/"/>
    </mc:Choice>
  </mc:AlternateContent>
  <xr:revisionPtr revIDLastSave="105" documentId="11_AD4D2F04E46CFB4ACB3E20AD4550C456683EDF1E" xr6:coauthVersionLast="47" xr6:coauthVersionMax="47" xr10:uidLastSave="{CC93020B-05AE-467B-893A-798B2D055417}"/>
  <bookViews>
    <workbookView xWindow="-120" yWindow="-120" windowWidth="29040" windowHeight="15720" xr2:uid="{00000000-000D-0000-FFFF-FFFF00000000}"/>
  </bookViews>
  <sheets>
    <sheet name="Ejemplo" sheetId="1" r:id="rId1"/>
    <sheet name="Ejercicio" sheetId="2" r:id="rId2"/>
    <sheet name="Evaluació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C4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4" i="1"/>
  <c r="G39" i="1"/>
  <c r="H39" i="1"/>
  <c r="I39" i="1"/>
  <c r="J39" i="1"/>
  <c r="K39" i="1"/>
  <c r="G38" i="1"/>
  <c r="H38" i="1"/>
  <c r="I38" i="1"/>
  <c r="J38" i="1"/>
  <c r="K38" i="1"/>
  <c r="H37" i="1"/>
  <c r="I37" i="1"/>
  <c r="J37" i="1"/>
  <c r="K37" i="1"/>
  <c r="G37" i="1"/>
  <c r="G36" i="1"/>
  <c r="H36" i="1"/>
  <c r="I36" i="1"/>
  <c r="J36" i="1"/>
  <c r="K36" i="1"/>
  <c r="H35" i="1"/>
  <c r="I35" i="1"/>
  <c r="J35" i="1"/>
  <c r="K35" i="1"/>
  <c r="G35" i="1"/>
  <c r="B34" i="1"/>
</calcChain>
</file>

<file path=xl/sharedStrings.xml><?xml version="1.0" encoding="utf-8"?>
<sst xmlns="http://schemas.openxmlformats.org/spreadsheetml/2006/main" count="209" uniqueCount="178">
  <si>
    <t>Nombre</t>
  </si>
  <si>
    <t>Apellido</t>
  </si>
  <si>
    <t>País</t>
  </si>
  <si>
    <t>Edad</t>
  </si>
  <si>
    <t>Estatura</t>
  </si>
  <si>
    <t>Peso</t>
  </si>
  <si>
    <t>Horas de Sueño Promedio</t>
  </si>
  <si>
    <t>Juan</t>
  </si>
  <si>
    <t>Pérez</t>
  </si>
  <si>
    <t>México</t>
  </si>
  <si>
    <t>María</t>
  </si>
  <si>
    <t>López</t>
  </si>
  <si>
    <t>España</t>
  </si>
  <si>
    <t>Ahmed</t>
  </si>
  <si>
    <t>Khan</t>
  </si>
  <si>
    <t>Pakistán</t>
  </si>
  <si>
    <t>Emily</t>
  </si>
  <si>
    <t>Smith</t>
  </si>
  <si>
    <t>EE. UU.</t>
  </si>
  <si>
    <t>Wei</t>
  </si>
  <si>
    <t>Chen</t>
  </si>
  <si>
    <t>China</t>
  </si>
  <si>
    <t>Carlos</t>
  </si>
  <si>
    <t>García</t>
  </si>
  <si>
    <t>Argentina</t>
  </si>
  <si>
    <t>Sofia</t>
  </si>
  <si>
    <t>Rodriguez</t>
  </si>
  <si>
    <t>Colombia</t>
  </si>
  <si>
    <t>Mohammad</t>
  </si>
  <si>
    <t>Rahman</t>
  </si>
  <si>
    <t>Bangladesh</t>
  </si>
  <si>
    <t>Emma</t>
  </si>
  <si>
    <t>Brown</t>
  </si>
  <si>
    <t>Canadá</t>
  </si>
  <si>
    <t>Kim</t>
  </si>
  <si>
    <t>Park</t>
  </si>
  <si>
    <t>Corea del Sur</t>
  </si>
  <si>
    <t>Ricardo</t>
  </si>
  <si>
    <t>Silva</t>
  </si>
  <si>
    <t>Brasil</t>
  </si>
  <si>
    <t>Anna</t>
  </si>
  <si>
    <t>Novak</t>
  </si>
  <si>
    <t>Rusia</t>
  </si>
  <si>
    <t>Muhammad</t>
  </si>
  <si>
    <t>Ali</t>
  </si>
  <si>
    <t>Egipto</t>
  </si>
  <si>
    <t>Sarah</t>
  </si>
  <si>
    <t>Johnson</t>
  </si>
  <si>
    <t>Reino Unido</t>
  </si>
  <si>
    <t>Luca</t>
  </si>
  <si>
    <t>Rossi</t>
  </si>
  <si>
    <t>Italia</t>
  </si>
  <si>
    <t>Sophie</t>
  </si>
  <si>
    <t>Dupont</t>
  </si>
  <si>
    <t>Francia</t>
  </si>
  <si>
    <t>Hiroshi</t>
  </si>
  <si>
    <t>Tanaka</t>
  </si>
  <si>
    <t>Japón</t>
  </si>
  <si>
    <t>Diego</t>
  </si>
  <si>
    <t>Martinez</t>
  </si>
  <si>
    <t>Elena</t>
  </si>
  <si>
    <t>Petrova</t>
  </si>
  <si>
    <t>Amir</t>
  </si>
  <si>
    <t>Mei</t>
  </si>
  <si>
    <t>Wong</t>
  </si>
  <si>
    <t>Lucas</t>
  </si>
  <si>
    <t>Olivia</t>
  </si>
  <si>
    <t>Taylor</t>
  </si>
  <si>
    <t>Javier</t>
  </si>
  <si>
    <t>Hernandez</t>
  </si>
  <si>
    <t>Garcia</t>
  </si>
  <si>
    <t>Raj</t>
  </si>
  <si>
    <t>Patel</t>
  </si>
  <si>
    <t>India</t>
  </si>
  <si>
    <t>Isabella</t>
  </si>
  <si>
    <t>Moretti</t>
  </si>
  <si>
    <t>Liam</t>
  </si>
  <si>
    <t>O'Connor</t>
  </si>
  <si>
    <t>Irlanda</t>
  </si>
  <si>
    <t>Nala</t>
  </si>
  <si>
    <t>Mbeki</t>
  </si>
  <si>
    <t>Sudáfrica</t>
  </si>
  <si>
    <t>Carnet</t>
  </si>
  <si>
    <t>Nota Promedio</t>
  </si>
  <si>
    <t>Horas de Estudio Promedio</t>
  </si>
  <si>
    <t>Animal</t>
  </si>
  <si>
    <t>Continente</t>
  </si>
  <si>
    <t>Peso Promedio (kg)</t>
  </si>
  <si>
    <t>Cantidad</t>
  </si>
  <si>
    <t>Porcentaje</t>
  </si>
  <si>
    <t>Última Visita</t>
  </si>
  <si>
    <t>Comida (toneladas)</t>
  </si>
  <si>
    <t>Agua (litros)</t>
  </si>
  <si>
    <t>Gastos Médicos ($)</t>
  </si>
  <si>
    <t>Elefante</t>
  </si>
  <si>
    <t>África</t>
  </si>
  <si>
    <t>León</t>
  </si>
  <si>
    <t>Jirafa</t>
  </si>
  <si>
    <t>Tigre</t>
  </si>
  <si>
    <t>Asia</t>
  </si>
  <si>
    <t>Oso Polar</t>
  </si>
  <si>
    <t>Antártida</t>
  </si>
  <si>
    <t>Panda</t>
  </si>
  <si>
    <t>Gorila</t>
  </si>
  <si>
    <t>Cocodrilo</t>
  </si>
  <si>
    <t>América</t>
  </si>
  <si>
    <t>Lobo</t>
  </si>
  <si>
    <t>Rinoceronte</t>
  </si>
  <si>
    <t>Leopardo</t>
  </si>
  <si>
    <t>Zorro</t>
  </si>
  <si>
    <t>Pavo Real</t>
  </si>
  <si>
    <t>Iguana</t>
  </si>
  <si>
    <t>Koala</t>
  </si>
  <si>
    <t>Oceanía</t>
  </si>
  <si>
    <t>Serpiente</t>
  </si>
  <si>
    <t>Delfín</t>
  </si>
  <si>
    <t>Lémur</t>
  </si>
  <si>
    <t>Pingüino</t>
  </si>
  <si>
    <t>Tigre Blanco</t>
  </si>
  <si>
    <t>Sucursal</t>
  </si>
  <si>
    <t>Responsable</t>
  </si>
  <si>
    <t>Distancia (km)</t>
  </si>
  <si>
    <t>Ventas promedio/mes (C$)</t>
  </si>
  <si>
    <t>Gastos promedio/mes (C$)</t>
  </si>
  <si>
    <t>Beneficio Neto (C$)</t>
  </si>
  <si>
    <t>Número de Empleados</t>
  </si>
  <si>
    <t>Índice de Satisfacción del Cliente</t>
  </si>
  <si>
    <t>Managua</t>
  </si>
  <si>
    <t>Juan Pérez</t>
  </si>
  <si>
    <t>Nagarote</t>
  </si>
  <si>
    <t>Ana García</t>
  </si>
  <si>
    <t>Nandaime</t>
  </si>
  <si>
    <t>Luis Martínez</t>
  </si>
  <si>
    <t>San Marcos</t>
  </si>
  <si>
    <t>María López</t>
  </si>
  <si>
    <t>Nueva Guinea</t>
  </si>
  <si>
    <t>Carlos Ruiz</t>
  </si>
  <si>
    <t>La Trinidad</t>
  </si>
  <si>
    <t>Sofia Castro</t>
  </si>
  <si>
    <t>Somotillo</t>
  </si>
  <si>
    <t>Pedro Ramírez</t>
  </si>
  <si>
    <t>Wiwilí</t>
  </si>
  <si>
    <t>Luis Sánchez</t>
  </si>
  <si>
    <t>La Libertad</t>
  </si>
  <si>
    <t>Marta Gómez</t>
  </si>
  <si>
    <t>El Rama</t>
  </si>
  <si>
    <t>Javier Vargas</t>
  </si>
  <si>
    <t>Teustepe</t>
  </si>
  <si>
    <t>Ana Rosa</t>
  </si>
  <si>
    <t>San Juan del Sur</t>
  </si>
  <si>
    <t>Mario Cruz</t>
  </si>
  <si>
    <t>Diriamba</t>
  </si>
  <si>
    <t>Carla Mendoza</t>
  </si>
  <si>
    <t>Somoto</t>
  </si>
  <si>
    <t>Pablo Castro</t>
  </si>
  <si>
    <t>Jalapa</t>
  </si>
  <si>
    <t>Laura Torres</t>
  </si>
  <si>
    <t>Bluefields</t>
  </si>
  <si>
    <t>Diego Ramos</t>
  </si>
  <si>
    <t>Chinandega</t>
  </si>
  <si>
    <t>María Flores</t>
  </si>
  <si>
    <t>Jinotega</t>
  </si>
  <si>
    <t>José Pérez</t>
  </si>
  <si>
    <t>Estelí</t>
  </si>
  <si>
    <t>Juan García</t>
  </si>
  <si>
    <t>Boaco</t>
  </si>
  <si>
    <t>Ana Martínez</t>
  </si>
  <si>
    <t>TOTAl</t>
  </si>
  <si>
    <t>Media</t>
  </si>
  <si>
    <t>Mediana</t>
  </si>
  <si>
    <t xml:space="preserve">Moda </t>
  </si>
  <si>
    <t>Maximo</t>
  </si>
  <si>
    <t>Minimo</t>
  </si>
  <si>
    <t>IMC</t>
  </si>
  <si>
    <t>Masa</t>
  </si>
  <si>
    <t>Idioma</t>
  </si>
  <si>
    <t>Hablantes</t>
  </si>
  <si>
    <t>INGLÉS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</si>
</sst>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</xdr:colOff>
      <xdr:row>0</xdr:row>
      <xdr:rowOff>9524</xdr:rowOff>
    </xdr:from>
    <xdr:to>
      <xdr:col>19</xdr:col>
      <xdr:colOff>304800</xdr:colOff>
      <xdr:row>26</xdr:row>
      <xdr:rowOff>38099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71349D7-1BAE-446D-B8C9-5853BFF83F12}"/>
            </a:ext>
          </a:extLst>
        </xdr:cNvPr>
        <xdr:cNvSpPr txBox="1"/>
      </xdr:nvSpPr>
      <xdr:spPr>
        <a:xfrm>
          <a:off x="8763000" y="9524"/>
          <a:ext cx="3486150" cy="4981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Funciones Matemáticas.</a:t>
          </a:r>
        </a:p>
        <a:p>
          <a:r>
            <a:rPr lang="es-NI" sz="1100"/>
            <a:t>Función Sí.</a:t>
          </a:r>
        </a:p>
        <a:p>
          <a:r>
            <a:rPr lang="es-NI" sz="1100"/>
            <a:t>Función Estadística.</a:t>
          </a:r>
        </a:p>
        <a:p>
          <a:r>
            <a:rPr lang="es-NI" sz="1100"/>
            <a:t>Función Máximo y Mínimo.</a:t>
          </a:r>
        </a:p>
        <a:p>
          <a:endParaRPr lang="es-NI" sz="1100"/>
        </a:p>
        <a:p>
          <a:r>
            <a:rPr lang="es-NI" sz="1100"/>
            <a:t>Calcular la cantidad de estudiantes.</a:t>
          </a:r>
        </a:p>
        <a:p>
          <a:r>
            <a:rPr lang="es-NI" sz="1100"/>
            <a:t>Calcular la media aritmética, moda, mediana, máximo y mínimo de:</a:t>
          </a:r>
        </a:p>
        <a:p>
          <a:r>
            <a:rPr lang="es-NI" sz="1100"/>
            <a:t>Estaturas.</a:t>
          </a:r>
        </a:p>
        <a:p>
          <a:r>
            <a:rPr lang="es-NI" sz="1100"/>
            <a:t>Notas.</a:t>
          </a:r>
        </a:p>
        <a:p>
          <a:r>
            <a:rPr lang="es-NI" sz="1100"/>
            <a:t>Pesos.</a:t>
          </a:r>
        </a:p>
        <a:p>
          <a:r>
            <a:rPr lang="es-NI" sz="1100"/>
            <a:t>Horas de sueño.</a:t>
          </a:r>
        </a:p>
        <a:p>
          <a:r>
            <a:rPr lang="es-NI" sz="1100"/>
            <a:t>Horas de estudio.</a:t>
          </a:r>
        </a:p>
        <a:p>
          <a:r>
            <a:rPr lang="es-NI" sz="1100"/>
            <a:t>Agregar una columna de Índice de Masa Corporal (IMC) y calcular el IMC para cada estudiante.</a:t>
          </a:r>
        </a:p>
        <a:p>
          <a:r>
            <a:rPr lang="es-NI" sz="1100"/>
            <a:t>Agregar otra columna que indique el rango de IMC según los siguientes criterios:</a:t>
          </a:r>
        </a:p>
        <a:p>
          <a:r>
            <a:rPr lang="es-NI" sz="1100"/>
            <a:t>Menos de 18.5: Peso insuficiente.</a:t>
          </a:r>
        </a:p>
        <a:p>
          <a:r>
            <a:rPr lang="es-NI" sz="1100"/>
            <a:t>Entre 18.5 y 24.9: Peso normal o saludable.</a:t>
          </a:r>
        </a:p>
        <a:p>
          <a:r>
            <a:rPr lang="es-NI" sz="1100"/>
            <a:t>Entre 25.0 y 29.9: Sobrepeso.</a:t>
          </a:r>
        </a:p>
        <a:p>
          <a:r>
            <a:rPr lang="es-NI" sz="1100"/>
            <a:t>30.0 o superior: Obesidad.</a:t>
          </a:r>
        </a:p>
        <a:p>
          <a:r>
            <a:rPr lang="es-NI" sz="1100"/>
            <a:t>Generar la edad de los estudiantes con números aleatorios entre 18 y 80 años.</a:t>
          </a:r>
        </a:p>
        <a:p>
          <a:r>
            <a:rPr lang="es-NI" sz="1100"/>
            <a:t>Agregar una columna con el idioma correspondiente al país del estudiante, de forma automática.</a:t>
          </a:r>
        </a:p>
        <a:p>
          <a:r>
            <a:rPr lang="es-NI" sz="1100"/>
            <a:t>Agregar un filtro que cuente los estudiantes y permita elegir el idioma, y que automáticamente indique cuántos estudiantes hablan ese idioma.</a:t>
          </a:r>
        </a:p>
        <a:p>
          <a:br>
            <a:rPr lang="es-NI" sz="1100"/>
          </a:br>
          <a:endParaRPr lang="es-NI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752475</xdr:colOff>
      <xdr:row>1</xdr:row>
      <xdr:rowOff>57150</xdr:rowOff>
    </xdr:from>
    <xdr:to>
      <xdr:col>15</xdr:col>
      <xdr:colOff>685800</xdr:colOff>
      <xdr:row>19</xdr:row>
      <xdr:rowOff>180975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9C652E5-CF6B-4CAA-A0CE-603A03F72AA4}"/>
            </a:ext>
          </a:extLst>
        </xdr:cNvPr>
        <xdr:cNvSpPr txBox="1"/>
      </xdr:nvSpPr>
      <xdr:spPr>
        <a:xfrm>
          <a:off x="8372475" y="247650"/>
          <a:ext cx="3743325" cy="3552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Genera aleatoriamente la cantidad de estudiantes, asegurándote de que esté en el rango de 2 a 8.</a:t>
          </a:r>
        </a:p>
        <a:p>
          <a:r>
            <a:rPr lang="es-NI" sz="1100"/>
            <a:t>Calcula el porcentaje de la cantidad en cada fila dividiendo la cantidad en esa fila por la suma de todas las cantidades. Asegúrate de asignar formato de porcentaje a la columna resultante.</a:t>
          </a:r>
        </a:p>
        <a:p>
          <a:r>
            <a:rPr lang="es-NI" sz="1100"/>
            <a:t>Calcula la cantidad total de estudiantes.</a:t>
          </a:r>
        </a:p>
        <a:p>
          <a:r>
            <a:rPr lang="es-NI" sz="1100"/>
            <a:t>Calcula la media aritmética, moda, mediana, máximo y mínimo de las siguientes métricas: peso promedio, comida, agua y gastos médicos.</a:t>
          </a:r>
        </a:p>
        <a:p>
          <a:r>
            <a:rPr lang="es-NI" sz="1100"/>
            <a:t>Crea una columna llamada "categoría" y asigna automáticamente a los animales una de estas categorías: mamífero, ave o reptil, utilizando la función SI.</a:t>
          </a:r>
        </a:p>
        <a:p>
          <a:r>
            <a:rPr lang="es-NI" sz="1100"/>
            <a:t>Agrega un filtro que permita seleccionar la categoría del animal y cuente cuántos animales pertenecen a esa categoría.</a:t>
          </a:r>
        </a:p>
        <a:p>
          <a:endParaRPr lang="es-NI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123825</xdr:colOff>
      <xdr:row>1</xdr:row>
      <xdr:rowOff>47625</xdr:rowOff>
    </xdr:from>
    <xdr:to>
      <xdr:col>15</xdr:col>
      <xdr:colOff>609600</xdr:colOff>
      <xdr:row>18</xdr:row>
      <xdr:rowOff>57150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B5684A9-D614-448D-A932-9D1549E93E76}"/>
            </a:ext>
          </a:extLst>
        </xdr:cNvPr>
        <xdr:cNvSpPr txBox="1"/>
      </xdr:nvSpPr>
      <xdr:spPr>
        <a:xfrm>
          <a:off x="8505825" y="238125"/>
          <a:ext cx="3533775" cy="3248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Genera aleatoriamente un número de empleados para cada sucursal, asegurándote de que esté en el rango de 10 a 30.</a:t>
          </a:r>
        </a:p>
        <a:p>
          <a:r>
            <a:rPr lang="es-NI" sz="1100"/>
            <a:t>Calcula la media aritmética, moda, mediana, máximo y mínimo de las siguientes métricas para cada sucursal: distancia, ventas, gastos, beneficios, número de clientes e índice de satisfacción.</a:t>
          </a:r>
        </a:p>
        <a:p>
          <a:r>
            <a:rPr lang="es-NI" sz="1100"/>
            <a:t>Agrega una columna que contenga las categorías de departamentos, asignando automáticamente el departamento al que pertenece cada sucursal utilizando la función SI.</a:t>
          </a:r>
        </a:p>
        <a:p>
          <a:r>
            <a:rPr lang="es-NI" sz="1100"/>
            <a:t>Agrega un filtro con los departamentos y al seleccionar uno, muestra cuántas sucursales pertenecen a ese departamento.</a:t>
          </a:r>
        </a:p>
        <a:p>
          <a:endParaRPr lang="es-NI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43"/>
  <sheetViews>
    <sheetView tabSelected="1" zoomScale="160" zoomScaleNormal="160" workbookViewId="0">
      <selection activeCell="N5" sqref="N5"/>
    </sheetView>
  </sheetViews>
  <sheetFormatPr baseColWidth="10" defaultColWidth="9.140625" defaultRowHeight="15" x14ac:dyDescent="0.25"/>
  <cols>
    <col min="2" max="2" width="11.5703125" bestFit="1" customWidth="1"/>
    <col min="3" max="3" width="10.5703125" bestFit="1" customWidth="1"/>
    <col min="4" max="4" width="12.7109375" bestFit="1" customWidth="1"/>
    <col min="5" max="5" width="7.28515625" bestFit="1" customWidth="1"/>
    <col min="6" max="6" width="5.28515625" bestFit="1" customWidth="1"/>
    <col min="7" max="7" width="8.140625" bestFit="1" customWidth="1"/>
    <col min="8" max="8" width="5.28515625" bestFit="1" customWidth="1"/>
    <col min="9" max="9" width="24.140625" bestFit="1" customWidth="1"/>
    <col min="10" max="10" width="14.42578125" bestFit="1" customWidth="1"/>
    <col min="11" max="11" width="25.140625" bestFit="1" customWidth="1"/>
    <col min="13" max="13" width="13.85546875" bestFit="1" customWidth="1"/>
    <col min="14" max="15" width="11.85546875" bestFit="1" customWidth="1"/>
  </cols>
  <sheetData>
    <row r="3" spans="2:14" x14ac:dyDescent="0.25">
      <c r="B3" t="s">
        <v>0</v>
      </c>
      <c r="C3" t="s">
        <v>1</v>
      </c>
      <c r="D3" t="s">
        <v>2</v>
      </c>
      <c r="E3" t="s">
        <v>82</v>
      </c>
      <c r="F3" t="s">
        <v>3</v>
      </c>
      <c r="G3" t="s">
        <v>4</v>
      </c>
      <c r="H3" t="s">
        <v>5</v>
      </c>
      <c r="I3" t="s">
        <v>6</v>
      </c>
      <c r="J3" t="s">
        <v>83</v>
      </c>
      <c r="K3" t="s">
        <v>84</v>
      </c>
      <c r="L3" t="s">
        <v>173</v>
      </c>
      <c r="M3" t="s">
        <v>174</v>
      </c>
      <c r="N3" t="s">
        <v>175</v>
      </c>
    </row>
    <row r="4" spans="2:14" x14ac:dyDescent="0.25">
      <c r="B4" t="s">
        <v>7</v>
      </c>
      <c r="C4" t="s">
        <v>8</v>
      </c>
      <c r="D4" t="s">
        <v>9</v>
      </c>
      <c r="E4">
        <v>123456</v>
      </c>
      <c r="F4">
        <f ca="1">RANDBETWEEN(18,80)</f>
        <v>66</v>
      </c>
      <c r="G4">
        <v>175</v>
      </c>
      <c r="H4">
        <v>70</v>
      </c>
      <c r="I4">
        <v>7</v>
      </c>
      <c r="J4">
        <v>8.1999999999999993</v>
      </c>
      <c r="K4">
        <v>4.5</v>
      </c>
      <c r="L4">
        <f>H4/POWER(G4/100,2)</f>
        <v>22.857142857142858</v>
      </c>
      <c r="M4" t="str">
        <f>IF(L4&lt;18.5,"PESO INSUFICIENTE",IF(AND(L4&gt;=18.5,L4&lt;=24.9),"PESO NORMAL",IF(AND(L4&lt;=25,L4&gt;=29.9),"SOBRE PESO","OBESIDAD")))</f>
        <v>PESO NORMAL</v>
      </c>
      <c r="N4" t="str">
        <f>IF(OR(D4="España",D4="México",D4="Argentina",D4="Colombia",D4="Brasil",D4="Italia",D4="Francia"),"ESPAÑOL","INGLÉS")</f>
        <v>ESPAÑOL</v>
      </c>
    </row>
    <row r="5" spans="2:14" x14ac:dyDescent="0.25">
      <c r="B5" t="s">
        <v>10</v>
      </c>
      <c r="C5" t="s">
        <v>11</v>
      </c>
      <c r="D5" t="s">
        <v>12</v>
      </c>
      <c r="E5">
        <v>654321</v>
      </c>
      <c r="F5">
        <f t="shared" ref="F5:F33" ca="1" si="0">RANDBETWEEN(18,80)</f>
        <v>74</v>
      </c>
      <c r="G5">
        <v>160</v>
      </c>
      <c r="H5">
        <v>55</v>
      </c>
      <c r="I5">
        <v>8</v>
      </c>
      <c r="J5">
        <v>7.5</v>
      </c>
      <c r="K5">
        <v>5</v>
      </c>
      <c r="L5">
        <f t="shared" ref="L5:L38" si="1">H5/POWER(G5/100,2)</f>
        <v>21.484374999999996</v>
      </c>
      <c r="M5" t="str">
        <f>IF(L5&lt;18.5,"PESO INSUFICIENTE",IF(AND(L5&gt;=18.5,L5&lt;=24.9),"PESO NORMAL",IF(AND(L5&lt;=25,L5&gt;=29.9),"SOBRE PESO","OBESIDAD")))</f>
        <v>PESO NORMAL</v>
      </c>
      <c r="N5" t="str">
        <f>IF(OR(D5="ESPAÑA",D5="México",D5="Argentina",D5="Colombia",D5="Brasil",D5="Italia",D5="Francia"),"ESPAÑOL","INGLÉS")</f>
        <v>ESPAÑOL</v>
      </c>
    </row>
    <row r="6" spans="2:14" x14ac:dyDescent="0.25">
      <c r="B6" t="s">
        <v>13</v>
      </c>
      <c r="C6" t="s">
        <v>14</v>
      </c>
      <c r="D6" t="s">
        <v>15</v>
      </c>
      <c r="E6">
        <v>987654</v>
      </c>
      <c r="F6">
        <f t="shared" ca="1" si="0"/>
        <v>62</v>
      </c>
      <c r="G6">
        <v>180</v>
      </c>
      <c r="H6">
        <v>75</v>
      </c>
      <c r="I6">
        <v>6.5</v>
      </c>
      <c r="J6">
        <v>6.8</v>
      </c>
      <c r="K6">
        <v>6</v>
      </c>
      <c r="L6">
        <f t="shared" si="1"/>
        <v>23.148148148148145</v>
      </c>
      <c r="M6" t="str">
        <f t="shared" ref="M5:M33" si="2">IF(L6&lt;18.5,"PESO INSUFICIENTE",IF(AND(L6&gt;=18.5,L6&lt;=24.9),"PESO NORMAL",IF(AND(L6&lt;=25,L6&gt;=29.9),"SOBRE PESO","OBESIDAD")))</f>
        <v>PESO NORMAL</v>
      </c>
      <c r="N6" t="str">
        <f t="shared" ref="N5:N33" si="3">IF(OR(D6="ESPAÑA",D6="México",D6="Argentina",D6="Colombia",D6="Brasil",D6="Italia",D6="Francia"),"ESPAÑOL","INGLÉS")</f>
        <v>INGLÉS</v>
      </c>
    </row>
    <row r="7" spans="2:14" x14ac:dyDescent="0.25">
      <c r="B7" t="s">
        <v>16</v>
      </c>
      <c r="C7" t="s">
        <v>17</v>
      </c>
      <c r="D7" t="s">
        <v>18</v>
      </c>
      <c r="E7">
        <v>456789</v>
      </c>
      <c r="F7">
        <f t="shared" ca="1" si="0"/>
        <v>41</v>
      </c>
      <c r="G7">
        <v>168</v>
      </c>
      <c r="H7">
        <v>60</v>
      </c>
      <c r="I7">
        <v>8.5</v>
      </c>
      <c r="J7">
        <v>9</v>
      </c>
      <c r="K7">
        <v>3.5</v>
      </c>
      <c r="L7">
        <f t="shared" si="1"/>
        <v>21.258503401360546</v>
      </c>
      <c r="M7" t="str">
        <f t="shared" si="2"/>
        <v>PESO NORMAL</v>
      </c>
      <c r="N7" t="str">
        <f t="shared" si="3"/>
        <v>INGLÉS</v>
      </c>
    </row>
    <row r="8" spans="2:14" x14ac:dyDescent="0.25">
      <c r="B8" t="s">
        <v>19</v>
      </c>
      <c r="C8" t="s">
        <v>20</v>
      </c>
      <c r="D8" t="s">
        <v>21</v>
      </c>
      <c r="E8">
        <v>234567</v>
      </c>
      <c r="F8">
        <f t="shared" ca="1" si="0"/>
        <v>72</v>
      </c>
      <c r="G8">
        <v>170</v>
      </c>
      <c r="H8">
        <v>65</v>
      </c>
      <c r="I8">
        <v>6</v>
      </c>
      <c r="J8">
        <v>7.2</v>
      </c>
      <c r="K8">
        <v>4</v>
      </c>
      <c r="L8">
        <f t="shared" si="1"/>
        <v>22.491349480968861</v>
      </c>
      <c r="M8" t="str">
        <f t="shared" si="2"/>
        <v>PESO NORMAL</v>
      </c>
      <c r="N8" t="str">
        <f t="shared" si="3"/>
        <v>INGLÉS</v>
      </c>
    </row>
    <row r="9" spans="2:14" x14ac:dyDescent="0.25">
      <c r="B9" t="s">
        <v>22</v>
      </c>
      <c r="C9" t="s">
        <v>23</v>
      </c>
      <c r="D9" t="s">
        <v>24</v>
      </c>
      <c r="E9">
        <v>789012</v>
      </c>
      <c r="F9">
        <f t="shared" ca="1" si="0"/>
        <v>73</v>
      </c>
      <c r="G9">
        <v>178</v>
      </c>
      <c r="H9">
        <v>80</v>
      </c>
      <c r="I9">
        <v>7</v>
      </c>
      <c r="J9">
        <v>8.5</v>
      </c>
      <c r="K9">
        <v>4.8</v>
      </c>
      <c r="L9">
        <f t="shared" si="1"/>
        <v>25.249337204898371</v>
      </c>
      <c r="M9" t="str">
        <f t="shared" si="2"/>
        <v>OBESIDAD</v>
      </c>
      <c r="N9" t="str">
        <f t="shared" si="3"/>
        <v>ESPAÑOL</v>
      </c>
    </row>
    <row r="10" spans="2:14" x14ac:dyDescent="0.25">
      <c r="B10" t="s">
        <v>25</v>
      </c>
      <c r="C10" t="s">
        <v>26</v>
      </c>
      <c r="D10" t="s">
        <v>27</v>
      </c>
      <c r="E10">
        <v>345678</v>
      </c>
      <c r="F10">
        <f t="shared" ca="1" si="0"/>
        <v>22</v>
      </c>
      <c r="G10">
        <v>163</v>
      </c>
      <c r="H10">
        <v>58</v>
      </c>
      <c r="I10">
        <v>7.5</v>
      </c>
      <c r="J10">
        <v>7.1</v>
      </c>
      <c r="K10">
        <v>5.2</v>
      </c>
      <c r="L10">
        <f t="shared" si="1"/>
        <v>21.829952199932254</v>
      </c>
      <c r="M10" t="str">
        <f t="shared" si="2"/>
        <v>PESO NORMAL</v>
      </c>
      <c r="N10" t="str">
        <f t="shared" si="3"/>
        <v>ESPAÑOL</v>
      </c>
    </row>
    <row r="11" spans="2:14" x14ac:dyDescent="0.25">
      <c r="B11" t="s">
        <v>28</v>
      </c>
      <c r="C11" t="s">
        <v>29</v>
      </c>
      <c r="D11" t="s">
        <v>30</v>
      </c>
      <c r="E11">
        <v>890123</v>
      </c>
      <c r="F11">
        <f t="shared" ca="1" si="0"/>
        <v>76</v>
      </c>
      <c r="G11">
        <v>172</v>
      </c>
      <c r="H11">
        <v>72</v>
      </c>
      <c r="I11">
        <v>6.8</v>
      </c>
      <c r="J11">
        <v>6.5</v>
      </c>
      <c r="K11">
        <v>6.3</v>
      </c>
      <c r="L11">
        <f t="shared" si="1"/>
        <v>24.337479718766904</v>
      </c>
      <c r="M11" t="str">
        <f t="shared" si="2"/>
        <v>PESO NORMAL</v>
      </c>
      <c r="N11" t="str">
        <f t="shared" si="3"/>
        <v>INGLÉS</v>
      </c>
    </row>
    <row r="12" spans="2:14" x14ac:dyDescent="0.25">
      <c r="B12" t="s">
        <v>31</v>
      </c>
      <c r="C12" t="s">
        <v>32</v>
      </c>
      <c r="D12" t="s">
        <v>33</v>
      </c>
      <c r="E12">
        <v>567890</v>
      </c>
      <c r="F12">
        <f t="shared" ca="1" si="0"/>
        <v>79</v>
      </c>
      <c r="G12">
        <v>165</v>
      </c>
      <c r="H12">
        <v>63</v>
      </c>
      <c r="I12">
        <v>7.2</v>
      </c>
      <c r="J12">
        <v>8.6999999999999993</v>
      </c>
      <c r="K12">
        <v>4.2</v>
      </c>
      <c r="L12">
        <f t="shared" si="1"/>
        <v>23.140495867768596</v>
      </c>
      <c r="M12" t="str">
        <f t="shared" si="2"/>
        <v>PESO NORMAL</v>
      </c>
      <c r="N12" t="str">
        <f t="shared" si="3"/>
        <v>INGLÉS</v>
      </c>
    </row>
    <row r="13" spans="2:14" x14ac:dyDescent="0.25">
      <c r="B13" t="s">
        <v>34</v>
      </c>
      <c r="C13" t="s">
        <v>35</v>
      </c>
      <c r="D13" t="s">
        <v>36</v>
      </c>
      <c r="E13">
        <v>901234</v>
      </c>
      <c r="F13">
        <f t="shared" ca="1" si="0"/>
        <v>55</v>
      </c>
      <c r="G13">
        <v>172</v>
      </c>
      <c r="H13">
        <v>68</v>
      </c>
      <c r="I13">
        <v>7.7</v>
      </c>
      <c r="J13">
        <v>7.9</v>
      </c>
      <c r="K13">
        <v>5.5</v>
      </c>
      <c r="L13">
        <f t="shared" si="1"/>
        <v>22.985397512168742</v>
      </c>
      <c r="M13" t="str">
        <f t="shared" si="2"/>
        <v>PESO NORMAL</v>
      </c>
      <c r="N13" t="str">
        <f t="shared" si="3"/>
        <v>INGLÉS</v>
      </c>
    </row>
    <row r="14" spans="2:14" x14ac:dyDescent="0.25">
      <c r="B14" t="s">
        <v>37</v>
      </c>
      <c r="C14" t="s">
        <v>38</v>
      </c>
      <c r="D14" t="s">
        <v>39</v>
      </c>
      <c r="E14">
        <v>234890</v>
      </c>
      <c r="F14">
        <f t="shared" ca="1" si="0"/>
        <v>34</v>
      </c>
      <c r="G14">
        <v>175</v>
      </c>
      <c r="H14">
        <v>78</v>
      </c>
      <c r="I14">
        <v>6.3</v>
      </c>
      <c r="J14">
        <v>7.3</v>
      </c>
      <c r="K14">
        <v>4.9000000000000004</v>
      </c>
      <c r="L14">
        <f t="shared" si="1"/>
        <v>25.469387755102041</v>
      </c>
      <c r="M14" t="str">
        <f t="shared" si="2"/>
        <v>OBESIDAD</v>
      </c>
      <c r="N14" t="str">
        <f t="shared" si="3"/>
        <v>ESPAÑOL</v>
      </c>
    </row>
    <row r="15" spans="2:14" x14ac:dyDescent="0.25">
      <c r="B15" t="s">
        <v>40</v>
      </c>
      <c r="C15" t="s">
        <v>41</v>
      </c>
      <c r="D15" t="s">
        <v>42</v>
      </c>
      <c r="E15">
        <v>678901</v>
      </c>
      <c r="F15">
        <f t="shared" ca="1" si="0"/>
        <v>58</v>
      </c>
      <c r="G15">
        <v>170</v>
      </c>
      <c r="H15">
        <v>62</v>
      </c>
      <c r="I15">
        <v>8.3000000000000007</v>
      </c>
      <c r="J15">
        <v>8.1</v>
      </c>
      <c r="K15">
        <v>5.7</v>
      </c>
      <c r="L15">
        <f t="shared" si="1"/>
        <v>21.453287197231838</v>
      </c>
      <c r="M15" t="str">
        <f t="shared" si="2"/>
        <v>PESO NORMAL</v>
      </c>
      <c r="N15" t="str">
        <f t="shared" si="3"/>
        <v>INGLÉS</v>
      </c>
    </row>
    <row r="16" spans="2:14" x14ac:dyDescent="0.25">
      <c r="B16" t="s">
        <v>43</v>
      </c>
      <c r="C16" t="s">
        <v>44</v>
      </c>
      <c r="D16" t="s">
        <v>45</v>
      </c>
      <c r="E16">
        <v>345678</v>
      </c>
      <c r="F16">
        <f t="shared" ca="1" si="0"/>
        <v>63</v>
      </c>
      <c r="G16">
        <v>177</v>
      </c>
      <c r="H16">
        <v>73</v>
      </c>
      <c r="I16">
        <v>7.9</v>
      </c>
      <c r="J16">
        <v>6.9</v>
      </c>
      <c r="K16">
        <v>6.1</v>
      </c>
      <c r="L16">
        <f t="shared" si="1"/>
        <v>23.301094832264035</v>
      </c>
      <c r="M16" t="str">
        <f t="shared" si="2"/>
        <v>PESO NORMAL</v>
      </c>
      <c r="N16" t="str">
        <f t="shared" si="3"/>
        <v>INGLÉS</v>
      </c>
    </row>
    <row r="17" spans="2:14" x14ac:dyDescent="0.25">
      <c r="B17" t="s">
        <v>46</v>
      </c>
      <c r="C17" t="s">
        <v>47</v>
      </c>
      <c r="D17" t="s">
        <v>48</v>
      </c>
      <c r="E17">
        <v>890123</v>
      </c>
      <c r="F17">
        <f t="shared" ca="1" si="0"/>
        <v>31</v>
      </c>
      <c r="G17">
        <v>166</v>
      </c>
      <c r="H17">
        <v>59</v>
      </c>
      <c r="I17">
        <v>7.1</v>
      </c>
      <c r="J17">
        <v>8.3000000000000007</v>
      </c>
      <c r="K17">
        <v>4.7</v>
      </c>
      <c r="L17">
        <f t="shared" si="1"/>
        <v>21.410944984758313</v>
      </c>
      <c r="M17" t="str">
        <f t="shared" si="2"/>
        <v>PESO NORMAL</v>
      </c>
      <c r="N17" t="str">
        <f t="shared" si="3"/>
        <v>INGLÉS</v>
      </c>
    </row>
    <row r="18" spans="2:14" x14ac:dyDescent="0.25">
      <c r="B18" t="s">
        <v>49</v>
      </c>
      <c r="C18" t="s">
        <v>50</v>
      </c>
      <c r="D18" t="s">
        <v>51</v>
      </c>
      <c r="E18">
        <v>456789</v>
      </c>
      <c r="F18">
        <f t="shared" ca="1" si="0"/>
        <v>65</v>
      </c>
      <c r="G18">
        <v>180</v>
      </c>
      <c r="H18">
        <v>77</v>
      </c>
      <c r="I18">
        <v>6.7</v>
      </c>
      <c r="J18">
        <v>7.6</v>
      </c>
      <c r="K18">
        <v>5.3</v>
      </c>
      <c r="L18">
        <f t="shared" si="1"/>
        <v>23.76543209876543</v>
      </c>
      <c r="M18" t="str">
        <f t="shared" si="2"/>
        <v>PESO NORMAL</v>
      </c>
      <c r="N18" t="str">
        <f t="shared" si="3"/>
        <v>ESPAÑOL</v>
      </c>
    </row>
    <row r="19" spans="2:14" x14ac:dyDescent="0.25">
      <c r="B19" t="s">
        <v>13</v>
      </c>
      <c r="C19" t="s">
        <v>44</v>
      </c>
      <c r="D19" t="s">
        <v>45</v>
      </c>
      <c r="E19">
        <v>678901</v>
      </c>
      <c r="F19">
        <f t="shared" ca="1" si="0"/>
        <v>40</v>
      </c>
      <c r="G19">
        <v>172</v>
      </c>
      <c r="H19">
        <v>68</v>
      </c>
      <c r="I19">
        <v>7.2</v>
      </c>
      <c r="J19">
        <v>7.2</v>
      </c>
      <c r="K19">
        <v>5.8</v>
      </c>
      <c r="L19">
        <f t="shared" si="1"/>
        <v>22.985397512168742</v>
      </c>
      <c r="M19" t="str">
        <f t="shared" si="2"/>
        <v>PESO NORMAL</v>
      </c>
      <c r="N19" t="str">
        <f t="shared" si="3"/>
        <v>INGLÉS</v>
      </c>
    </row>
    <row r="20" spans="2:14" x14ac:dyDescent="0.25">
      <c r="B20" t="s">
        <v>52</v>
      </c>
      <c r="C20" t="s">
        <v>53</v>
      </c>
      <c r="D20" t="s">
        <v>54</v>
      </c>
      <c r="E20">
        <v>345678</v>
      </c>
      <c r="F20">
        <f t="shared" ca="1" si="0"/>
        <v>45</v>
      </c>
      <c r="G20">
        <v>165</v>
      </c>
      <c r="H20">
        <v>60</v>
      </c>
      <c r="I20">
        <v>8.1</v>
      </c>
      <c r="J20">
        <v>8.9</v>
      </c>
      <c r="K20">
        <v>4.3</v>
      </c>
      <c r="L20">
        <f t="shared" si="1"/>
        <v>22.03856749311295</v>
      </c>
      <c r="M20" t="str">
        <f t="shared" si="2"/>
        <v>PESO NORMAL</v>
      </c>
      <c r="N20" t="str">
        <f t="shared" si="3"/>
        <v>ESPAÑOL</v>
      </c>
    </row>
    <row r="21" spans="2:14" x14ac:dyDescent="0.25">
      <c r="B21" t="s">
        <v>55</v>
      </c>
      <c r="C21" t="s">
        <v>56</v>
      </c>
      <c r="D21" t="s">
        <v>57</v>
      </c>
      <c r="E21">
        <v>456789</v>
      </c>
      <c r="F21">
        <f t="shared" ca="1" si="0"/>
        <v>39</v>
      </c>
      <c r="G21">
        <v>175</v>
      </c>
      <c r="H21">
        <v>72</v>
      </c>
      <c r="I21">
        <v>6.9</v>
      </c>
      <c r="J21">
        <v>7.8</v>
      </c>
      <c r="K21">
        <v>5.7</v>
      </c>
      <c r="L21">
        <f t="shared" si="1"/>
        <v>23.510204081632654</v>
      </c>
      <c r="M21" t="str">
        <f t="shared" si="2"/>
        <v>PESO NORMAL</v>
      </c>
      <c r="N21" t="str">
        <f t="shared" si="3"/>
        <v>INGLÉS</v>
      </c>
    </row>
    <row r="22" spans="2:14" x14ac:dyDescent="0.25">
      <c r="B22" t="s">
        <v>58</v>
      </c>
      <c r="C22" t="s">
        <v>59</v>
      </c>
      <c r="D22" t="s">
        <v>24</v>
      </c>
      <c r="E22">
        <v>890123</v>
      </c>
      <c r="F22">
        <f t="shared" ca="1" si="0"/>
        <v>62</v>
      </c>
      <c r="G22">
        <v>180</v>
      </c>
      <c r="H22">
        <v>85</v>
      </c>
      <c r="I22">
        <v>7.5</v>
      </c>
      <c r="J22">
        <v>6.7</v>
      </c>
      <c r="K22">
        <v>6.5</v>
      </c>
      <c r="L22">
        <f t="shared" si="1"/>
        <v>26.234567901234566</v>
      </c>
      <c r="M22" t="str">
        <f t="shared" si="2"/>
        <v>OBESIDAD</v>
      </c>
      <c r="N22" t="str">
        <f t="shared" si="3"/>
        <v>ESPAÑOL</v>
      </c>
    </row>
    <row r="23" spans="2:14" x14ac:dyDescent="0.25">
      <c r="B23" t="s">
        <v>60</v>
      </c>
      <c r="C23" t="s">
        <v>61</v>
      </c>
      <c r="D23" t="s">
        <v>42</v>
      </c>
      <c r="E23">
        <v>901234</v>
      </c>
      <c r="F23">
        <f t="shared" ca="1" si="0"/>
        <v>44</v>
      </c>
      <c r="G23">
        <v>168</v>
      </c>
      <c r="H23">
        <v>63</v>
      </c>
      <c r="I23">
        <v>7.8</v>
      </c>
      <c r="J23">
        <v>8.4</v>
      </c>
      <c r="K23">
        <v>4.9000000000000004</v>
      </c>
      <c r="L23">
        <f t="shared" si="1"/>
        <v>22.321428571428577</v>
      </c>
      <c r="M23" t="str">
        <f t="shared" si="2"/>
        <v>PESO NORMAL</v>
      </c>
      <c r="N23" t="str">
        <f t="shared" si="3"/>
        <v>INGLÉS</v>
      </c>
    </row>
    <row r="24" spans="2:14" x14ac:dyDescent="0.25">
      <c r="B24" t="s">
        <v>62</v>
      </c>
      <c r="C24" t="s">
        <v>14</v>
      </c>
      <c r="D24" t="s">
        <v>15</v>
      </c>
      <c r="E24">
        <v>234567</v>
      </c>
      <c r="F24">
        <f t="shared" ca="1" si="0"/>
        <v>21</v>
      </c>
      <c r="G24">
        <v>178</v>
      </c>
      <c r="H24">
        <v>73</v>
      </c>
      <c r="I24">
        <v>6.6</v>
      </c>
      <c r="J24">
        <v>7.5</v>
      </c>
      <c r="K24">
        <v>5.2</v>
      </c>
      <c r="L24">
        <f t="shared" si="1"/>
        <v>23.040020199469762</v>
      </c>
      <c r="M24" t="str">
        <f t="shared" si="2"/>
        <v>PESO NORMAL</v>
      </c>
      <c r="N24" t="str">
        <f t="shared" si="3"/>
        <v>INGLÉS</v>
      </c>
    </row>
    <row r="25" spans="2:14" x14ac:dyDescent="0.25">
      <c r="B25" t="s">
        <v>63</v>
      </c>
      <c r="C25" t="s">
        <v>64</v>
      </c>
      <c r="D25" t="s">
        <v>21</v>
      </c>
      <c r="E25">
        <v>789012</v>
      </c>
      <c r="F25">
        <f t="shared" ca="1" si="0"/>
        <v>53</v>
      </c>
      <c r="G25">
        <v>163</v>
      </c>
      <c r="H25">
        <v>55</v>
      </c>
      <c r="I25">
        <v>8.1999999999999993</v>
      </c>
      <c r="J25">
        <v>7.1</v>
      </c>
      <c r="K25">
        <v>5.6</v>
      </c>
      <c r="L25">
        <f t="shared" si="1"/>
        <v>20.700816741315069</v>
      </c>
      <c r="M25" t="str">
        <f t="shared" si="2"/>
        <v>PESO NORMAL</v>
      </c>
      <c r="N25" t="str">
        <f t="shared" si="3"/>
        <v>INGLÉS</v>
      </c>
    </row>
    <row r="26" spans="2:14" x14ac:dyDescent="0.25">
      <c r="B26" t="s">
        <v>65</v>
      </c>
      <c r="C26" t="s">
        <v>38</v>
      </c>
      <c r="D26" t="s">
        <v>39</v>
      </c>
      <c r="E26">
        <v>567890</v>
      </c>
      <c r="F26">
        <f t="shared" ca="1" si="0"/>
        <v>45</v>
      </c>
      <c r="G26">
        <v>176</v>
      </c>
      <c r="H26">
        <v>70</v>
      </c>
      <c r="I26">
        <v>7.3</v>
      </c>
      <c r="J26">
        <v>8</v>
      </c>
      <c r="K26">
        <v>4.8</v>
      </c>
      <c r="L26">
        <f t="shared" si="1"/>
        <v>22.598140495867771</v>
      </c>
      <c r="M26" t="str">
        <f t="shared" si="2"/>
        <v>PESO NORMAL</v>
      </c>
      <c r="N26" t="str">
        <f t="shared" si="3"/>
        <v>ESPAÑOL</v>
      </c>
    </row>
    <row r="27" spans="2:14" x14ac:dyDescent="0.25">
      <c r="B27" t="s">
        <v>66</v>
      </c>
      <c r="C27" t="s">
        <v>67</v>
      </c>
      <c r="D27" t="s">
        <v>18</v>
      </c>
      <c r="E27">
        <v>123890</v>
      </c>
      <c r="F27">
        <f t="shared" ca="1" si="0"/>
        <v>70</v>
      </c>
      <c r="G27">
        <v>170</v>
      </c>
      <c r="H27">
        <v>65</v>
      </c>
      <c r="I27">
        <v>8</v>
      </c>
      <c r="J27">
        <v>8.6</v>
      </c>
      <c r="K27">
        <v>4.4000000000000004</v>
      </c>
      <c r="L27">
        <f t="shared" si="1"/>
        <v>22.491349480968861</v>
      </c>
      <c r="M27" t="str">
        <f t="shared" si="2"/>
        <v>PESO NORMAL</v>
      </c>
      <c r="N27" t="str">
        <f t="shared" si="3"/>
        <v>INGLÉS</v>
      </c>
    </row>
    <row r="28" spans="2:14" x14ac:dyDescent="0.25">
      <c r="B28" t="s">
        <v>68</v>
      </c>
      <c r="C28" t="s">
        <v>69</v>
      </c>
      <c r="D28" t="s">
        <v>9</v>
      </c>
      <c r="E28">
        <v>890234</v>
      </c>
      <c r="F28">
        <f t="shared" ca="1" si="0"/>
        <v>35</v>
      </c>
      <c r="G28">
        <v>172</v>
      </c>
      <c r="H28">
        <v>75</v>
      </c>
      <c r="I28">
        <v>6.8</v>
      </c>
      <c r="J28">
        <v>7.3</v>
      </c>
      <c r="K28">
        <v>5.9</v>
      </c>
      <c r="L28">
        <f t="shared" si="1"/>
        <v>25.351541373715524</v>
      </c>
      <c r="M28" t="str">
        <f t="shared" si="2"/>
        <v>OBESIDAD</v>
      </c>
      <c r="N28" t="str">
        <f t="shared" si="3"/>
        <v>ESPAÑOL</v>
      </c>
    </row>
    <row r="29" spans="2:14" x14ac:dyDescent="0.25">
      <c r="B29" t="s">
        <v>25</v>
      </c>
      <c r="C29" t="s">
        <v>70</v>
      </c>
      <c r="D29" t="s">
        <v>12</v>
      </c>
      <c r="E29">
        <v>678901</v>
      </c>
      <c r="F29">
        <f t="shared" ca="1" si="0"/>
        <v>56</v>
      </c>
      <c r="G29">
        <v>162</v>
      </c>
      <c r="H29">
        <v>58</v>
      </c>
      <c r="I29">
        <v>7.4</v>
      </c>
      <c r="J29">
        <v>6.9</v>
      </c>
      <c r="K29">
        <v>6.2</v>
      </c>
      <c r="L29">
        <f t="shared" si="1"/>
        <v>22.10028959000152</v>
      </c>
      <c r="M29" t="str">
        <f t="shared" si="2"/>
        <v>PESO NORMAL</v>
      </c>
      <c r="N29" t="str">
        <f t="shared" si="3"/>
        <v>ESPAÑOL</v>
      </c>
    </row>
    <row r="30" spans="2:14" x14ac:dyDescent="0.25">
      <c r="B30" t="s">
        <v>71</v>
      </c>
      <c r="C30" t="s">
        <v>72</v>
      </c>
      <c r="D30" t="s">
        <v>73</v>
      </c>
      <c r="E30">
        <v>345678</v>
      </c>
      <c r="F30">
        <f t="shared" ca="1" si="0"/>
        <v>43</v>
      </c>
      <c r="G30">
        <v>167</v>
      </c>
      <c r="H30">
        <v>64</v>
      </c>
      <c r="I30">
        <v>7.7</v>
      </c>
      <c r="J30">
        <v>8.1999999999999993</v>
      </c>
      <c r="K30">
        <v>5.3</v>
      </c>
      <c r="L30">
        <f t="shared" si="1"/>
        <v>22.948115744558788</v>
      </c>
      <c r="M30" t="str">
        <f t="shared" si="2"/>
        <v>PESO NORMAL</v>
      </c>
      <c r="N30" t="str">
        <f t="shared" si="3"/>
        <v>INGLÉS</v>
      </c>
    </row>
    <row r="31" spans="2:14" x14ac:dyDescent="0.25">
      <c r="B31" t="s">
        <v>74</v>
      </c>
      <c r="C31" t="s">
        <v>75</v>
      </c>
      <c r="D31" t="s">
        <v>51</v>
      </c>
      <c r="E31">
        <v>456789</v>
      </c>
      <c r="F31">
        <f t="shared" ca="1" si="0"/>
        <v>57</v>
      </c>
      <c r="G31">
        <v>169</v>
      </c>
      <c r="H31">
        <v>62</v>
      </c>
      <c r="I31">
        <v>7.1</v>
      </c>
      <c r="J31">
        <v>7.7</v>
      </c>
      <c r="K31">
        <v>5.0999999999999996</v>
      </c>
      <c r="L31">
        <f t="shared" si="1"/>
        <v>21.707923392038097</v>
      </c>
      <c r="M31" t="str">
        <f t="shared" si="2"/>
        <v>PESO NORMAL</v>
      </c>
      <c r="N31" t="str">
        <f t="shared" si="3"/>
        <v>ESPAÑOL</v>
      </c>
    </row>
    <row r="32" spans="2:14" x14ac:dyDescent="0.25">
      <c r="B32" t="s">
        <v>76</v>
      </c>
      <c r="C32" t="s">
        <v>77</v>
      </c>
      <c r="D32" t="s">
        <v>78</v>
      </c>
      <c r="E32">
        <v>890123</v>
      </c>
      <c r="F32">
        <f t="shared" ca="1" si="0"/>
        <v>33</v>
      </c>
      <c r="G32">
        <v>175</v>
      </c>
      <c r="H32">
        <v>70</v>
      </c>
      <c r="I32">
        <v>7.6</v>
      </c>
      <c r="J32">
        <v>8.1</v>
      </c>
      <c r="K32">
        <v>4.7</v>
      </c>
      <c r="L32">
        <f t="shared" si="1"/>
        <v>22.857142857142858</v>
      </c>
      <c r="M32" t="str">
        <f t="shared" si="2"/>
        <v>PESO NORMAL</v>
      </c>
      <c r="N32" t="str">
        <f t="shared" si="3"/>
        <v>INGLÉS</v>
      </c>
    </row>
    <row r="33" spans="1:14" x14ac:dyDescent="0.25">
      <c r="B33" t="s">
        <v>79</v>
      </c>
      <c r="C33" t="s">
        <v>80</v>
      </c>
      <c r="D33" t="s">
        <v>81</v>
      </c>
      <c r="E33">
        <v>901234</v>
      </c>
      <c r="F33">
        <f t="shared" ca="1" si="0"/>
        <v>54</v>
      </c>
      <c r="G33">
        <v>170</v>
      </c>
      <c r="H33">
        <v>67</v>
      </c>
      <c r="I33">
        <v>7.9</v>
      </c>
      <c r="J33">
        <v>7.4</v>
      </c>
      <c r="K33">
        <v>5.5</v>
      </c>
      <c r="L33">
        <f t="shared" si="1"/>
        <v>23.183391003460208</v>
      </c>
      <c r="M33" t="str">
        <f t="shared" si="2"/>
        <v>PESO NORMAL</v>
      </c>
      <c r="N33" t="str">
        <f t="shared" si="3"/>
        <v>INGLÉS</v>
      </c>
    </row>
    <row r="34" spans="1:14" x14ac:dyDescent="0.25">
      <c r="A34" t="s">
        <v>167</v>
      </c>
      <c r="B34">
        <f>COUNTA(B4:B33)</f>
        <v>30</v>
      </c>
    </row>
    <row r="35" spans="1:14" x14ac:dyDescent="0.25">
      <c r="A35" t="s">
        <v>168</v>
      </c>
      <c r="G35">
        <f>AVERAGE(G4:G33)</f>
        <v>171.1</v>
      </c>
      <c r="H35">
        <f t="shared" ref="H35:K35" si="4">AVERAGE(H4:H33)</f>
        <v>67.400000000000006</v>
      </c>
      <c r="I35">
        <f t="shared" si="4"/>
        <v>7.3533333333333335</v>
      </c>
      <c r="J35">
        <f t="shared" si="4"/>
        <v>7.7133333333333329</v>
      </c>
      <c r="K35">
        <f t="shared" si="4"/>
        <v>5.1866666666666665</v>
      </c>
    </row>
    <row r="36" spans="1:14" x14ac:dyDescent="0.25">
      <c r="A36" t="s">
        <v>169</v>
      </c>
      <c r="G36">
        <f>MEDIAN(G4:G33)</f>
        <v>171</v>
      </c>
      <c r="H36">
        <f t="shared" ref="H36:K36" si="5">MEDIAN(H4:H33)</f>
        <v>67.5</v>
      </c>
      <c r="I36">
        <f t="shared" si="5"/>
        <v>7.35</v>
      </c>
      <c r="J36">
        <f t="shared" si="5"/>
        <v>7.65</v>
      </c>
      <c r="K36">
        <f t="shared" si="5"/>
        <v>5.2</v>
      </c>
    </row>
    <row r="37" spans="1:14" x14ac:dyDescent="0.25">
      <c r="A37" t="s">
        <v>170</v>
      </c>
      <c r="G37">
        <f>_xlfn.MODE.SNGL(G4:G33)</f>
        <v>175</v>
      </c>
      <c r="H37">
        <f t="shared" ref="H37:K37" si="6">_xlfn.MODE.SNGL(H4:H33)</f>
        <v>70</v>
      </c>
      <c r="I37">
        <f t="shared" si="6"/>
        <v>7</v>
      </c>
      <c r="J37">
        <f t="shared" si="6"/>
        <v>8.1999999999999993</v>
      </c>
      <c r="K37">
        <f t="shared" si="6"/>
        <v>4.8</v>
      </c>
    </row>
    <row r="38" spans="1:14" x14ac:dyDescent="0.25">
      <c r="A38" t="s">
        <v>171</v>
      </c>
      <c r="G38">
        <f>MAX(G4:G33)</f>
        <v>180</v>
      </c>
      <c r="H38">
        <f t="shared" ref="H38:K38" si="7">MAX(H4:H33)</f>
        <v>85</v>
      </c>
      <c r="I38">
        <f t="shared" si="7"/>
        <v>8.5</v>
      </c>
      <c r="J38">
        <f t="shared" si="7"/>
        <v>9</v>
      </c>
      <c r="K38">
        <f t="shared" si="7"/>
        <v>6.5</v>
      </c>
    </row>
    <row r="39" spans="1:14" x14ac:dyDescent="0.25">
      <c r="A39" t="s">
        <v>172</v>
      </c>
      <c r="G39">
        <f>MIN(G5:G34)</f>
        <v>160</v>
      </c>
      <c r="H39">
        <f t="shared" ref="H39:K39" si="8">MIN(H5:H34)</f>
        <v>55</v>
      </c>
      <c r="I39">
        <f t="shared" si="8"/>
        <v>6</v>
      </c>
      <c r="J39">
        <f t="shared" si="8"/>
        <v>6.5</v>
      </c>
      <c r="K39">
        <f t="shared" si="8"/>
        <v>3.5</v>
      </c>
    </row>
    <row r="42" spans="1:14" x14ac:dyDescent="0.25">
      <c r="B42" t="s">
        <v>175</v>
      </c>
      <c r="C42" t="s">
        <v>177</v>
      </c>
    </row>
    <row r="43" spans="1:14" x14ac:dyDescent="0.25">
      <c r="B43" t="s">
        <v>176</v>
      </c>
      <c r="C43">
        <f>COUNTIF(N4:N33,C42)</f>
        <v>18</v>
      </c>
    </row>
  </sheetData>
  <dataValidations count="1">
    <dataValidation type="list" allowBlank="1" showInputMessage="1" showErrorMessage="1" sqref="C42" xr:uid="{57CE25AD-6399-4025-8D59-3C91E3012ACF}">
      <formula1>$N$4:$N$33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5210-C806-495B-8872-A3705D680EF6}">
  <dimension ref="B2:J22"/>
  <sheetViews>
    <sheetView workbookViewId="0">
      <selection activeCell="K20" sqref="K20"/>
    </sheetView>
  </sheetViews>
  <sheetFormatPr baseColWidth="10" defaultRowHeight="15" x14ac:dyDescent="0.25"/>
  <sheetData>
    <row r="2" spans="2:10" x14ac:dyDescent="0.25"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91</v>
      </c>
      <c r="I2" t="s">
        <v>92</v>
      </c>
      <c r="J2" t="s">
        <v>93</v>
      </c>
    </row>
    <row r="3" spans="2:10" x14ac:dyDescent="0.25">
      <c r="B3" t="s">
        <v>94</v>
      </c>
      <c r="C3" t="s">
        <v>95</v>
      </c>
      <c r="D3">
        <v>5000</v>
      </c>
      <c r="F3" s="1"/>
      <c r="G3" s="2">
        <v>45361</v>
      </c>
      <c r="H3">
        <v>5250</v>
      </c>
      <c r="I3">
        <v>5000</v>
      </c>
      <c r="J3">
        <v>1000</v>
      </c>
    </row>
    <row r="4" spans="2:10" x14ac:dyDescent="0.25">
      <c r="B4" t="s">
        <v>96</v>
      </c>
      <c r="C4" t="s">
        <v>95</v>
      </c>
      <c r="D4">
        <v>200</v>
      </c>
      <c r="F4" s="1"/>
      <c r="G4" s="2">
        <v>45363</v>
      </c>
      <c r="H4">
        <v>400</v>
      </c>
      <c r="I4">
        <v>400</v>
      </c>
      <c r="J4">
        <v>800</v>
      </c>
    </row>
    <row r="5" spans="2:10" x14ac:dyDescent="0.25">
      <c r="B5" t="s">
        <v>97</v>
      </c>
      <c r="C5" t="s">
        <v>95</v>
      </c>
      <c r="D5">
        <v>1500</v>
      </c>
      <c r="F5" s="1"/>
      <c r="G5" s="2">
        <v>45365</v>
      </c>
      <c r="H5">
        <v>1500</v>
      </c>
      <c r="I5">
        <v>1500</v>
      </c>
      <c r="J5">
        <v>500</v>
      </c>
    </row>
    <row r="6" spans="2:10" x14ac:dyDescent="0.25">
      <c r="B6" t="s">
        <v>98</v>
      </c>
      <c r="C6" t="s">
        <v>99</v>
      </c>
      <c r="D6">
        <v>250</v>
      </c>
      <c r="F6" s="1"/>
      <c r="G6" s="2">
        <v>45362</v>
      </c>
      <c r="H6">
        <v>500</v>
      </c>
      <c r="I6">
        <v>500</v>
      </c>
      <c r="J6">
        <v>700</v>
      </c>
    </row>
    <row r="7" spans="2:10" x14ac:dyDescent="0.25">
      <c r="B7" t="s">
        <v>100</v>
      </c>
      <c r="C7" t="s">
        <v>101</v>
      </c>
      <c r="D7">
        <v>1500</v>
      </c>
      <c r="F7" s="1"/>
      <c r="G7" s="2">
        <v>45364</v>
      </c>
      <c r="H7">
        <v>1500</v>
      </c>
      <c r="I7">
        <v>1500</v>
      </c>
      <c r="J7">
        <v>900</v>
      </c>
    </row>
    <row r="8" spans="2:10" x14ac:dyDescent="0.25">
      <c r="B8" t="s">
        <v>102</v>
      </c>
      <c r="C8" t="s">
        <v>99</v>
      </c>
      <c r="D8">
        <v>180</v>
      </c>
      <c r="F8" s="1"/>
      <c r="G8" s="2">
        <v>45361</v>
      </c>
      <c r="H8">
        <v>180</v>
      </c>
      <c r="I8">
        <v>180</v>
      </c>
      <c r="J8">
        <v>600</v>
      </c>
    </row>
    <row r="9" spans="2:10" x14ac:dyDescent="0.25">
      <c r="B9" t="s">
        <v>103</v>
      </c>
      <c r="C9" t="s">
        <v>95</v>
      </c>
      <c r="D9">
        <v>300</v>
      </c>
      <c r="F9" s="1"/>
      <c r="G9" s="2">
        <v>45360</v>
      </c>
      <c r="H9">
        <v>300</v>
      </c>
      <c r="I9">
        <v>300</v>
      </c>
      <c r="J9">
        <v>700</v>
      </c>
    </row>
    <row r="10" spans="2:10" x14ac:dyDescent="0.25">
      <c r="B10" t="s">
        <v>104</v>
      </c>
      <c r="C10" t="s">
        <v>105</v>
      </c>
      <c r="D10">
        <v>220</v>
      </c>
      <c r="F10" s="1"/>
      <c r="G10" s="2">
        <v>45359</v>
      </c>
      <c r="H10">
        <v>220</v>
      </c>
      <c r="I10">
        <v>220</v>
      </c>
      <c r="J10">
        <v>800</v>
      </c>
    </row>
    <row r="11" spans="2:10" x14ac:dyDescent="0.25">
      <c r="B11" t="s">
        <v>106</v>
      </c>
      <c r="C11" t="s">
        <v>105</v>
      </c>
      <c r="D11">
        <v>150</v>
      </c>
      <c r="F11" s="1"/>
      <c r="G11" s="2">
        <v>45358</v>
      </c>
      <c r="H11">
        <v>150</v>
      </c>
      <c r="I11">
        <v>150</v>
      </c>
      <c r="J11">
        <v>600</v>
      </c>
    </row>
    <row r="12" spans="2:10" x14ac:dyDescent="0.25">
      <c r="B12" t="s">
        <v>107</v>
      </c>
      <c r="C12" t="s">
        <v>95</v>
      </c>
      <c r="D12">
        <v>4000</v>
      </c>
      <c r="F12" s="1"/>
      <c r="G12" s="2">
        <v>45361</v>
      </c>
      <c r="H12">
        <v>4000</v>
      </c>
      <c r="I12">
        <v>4000</v>
      </c>
      <c r="J12">
        <v>1200</v>
      </c>
    </row>
    <row r="13" spans="2:10" x14ac:dyDescent="0.25">
      <c r="B13" t="s">
        <v>108</v>
      </c>
      <c r="C13" t="s">
        <v>95</v>
      </c>
      <c r="D13">
        <v>230</v>
      </c>
      <c r="F13" s="1"/>
      <c r="G13" s="2">
        <v>45362</v>
      </c>
      <c r="H13">
        <v>230</v>
      </c>
      <c r="I13">
        <v>230</v>
      </c>
      <c r="J13">
        <v>750</v>
      </c>
    </row>
    <row r="14" spans="2:10" x14ac:dyDescent="0.25">
      <c r="B14" t="s">
        <v>109</v>
      </c>
      <c r="C14" t="s">
        <v>105</v>
      </c>
      <c r="D14">
        <v>100</v>
      </c>
      <c r="F14" s="1"/>
      <c r="G14" s="2">
        <v>45360</v>
      </c>
      <c r="H14">
        <v>100</v>
      </c>
      <c r="I14">
        <v>100</v>
      </c>
      <c r="J14">
        <v>400</v>
      </c>
    </row>
    <row r="15" spans="2:10" x14ac:dyDescent="0.25">
      <c r="B15" t="s">
        <v>110</v>
      </c>
      <c r="C15" t="s">
        <v>99</v>
      </c>
      <c r="D15">
        <v>50</v>
      </c>
      <c r="F15" s="1"/>
      <c r="G15" s="2">
        <v>45363</v>
      </c>
      <c r="H15">
        <v>50</v>
      </c>
      <c r="I15">
        <v>50</v>
      </c>
      <c r="J15">
        <v>300</v>
      </c>
    </row>
    <row r="16" spans="2:10" x14ac:dyDescent="0.25">
      <c r="B16" t="s">
        <v>111</v>
      </c>
      <c r="C16" t="s">
        <v>105</v>
      </c>
      <c r="D16">
        <v>30</v>
      </c>
      <c r="F16" s="1"/>
      <c r="G16" s="2">
        <v>45364</v>
      </c>
      <c r="H16">
        <v>30</v>
      </c>
      <c r="I16">
        <v>30</v>
      </c>
      <c r="J16">
        <v>200</v>
      </c>
    </row>
    <row r="17" spans="2:10" x14ac:dyDescent="0.25">
      <c r="B17" t="s">
        <v>112</v>
      </c>
      <c r="C17" t="s">
        <v>113</v>
      </c>
      <c r="D17">
        <v>80</v>
      </c>
      <c r="F17" s="1"/>
      <c r="G17" s="2">
        <v>45365</v>
      </c>
      <c r="H17">
        <v>80</v>
      </c>
      <c r="I17">
        <v>80</v>
      </c>
      <c r="J17">
        <v>500</v>
      </c>
    </row>
    <row r="18" spans="2:10" x14ac:dyDescent="0.25">
      <c r="B18" t="s">
        <v>114</v>
      </c>
      <c r="C18" t="s">
        <v>105</v>
      </c>
      <c r="D18">
        <v>20</v>
      </c>
      <c r="F18" s="1"/>
      <c r="G18" s="2">
        <v>45361</v>
      </c>
      <c r="H18">
        <v>20</v>
      </c>
      <c r="I18">
        <v>20</v>
      </c>
      <c r="J18">
        <v>150</v>
      </c>
    </row>
    <row r="19" spans="2:10" x14ac:dyDescent="0.25">
      <c r="B19" t="s">
        <v>115</v>
      </c>
      <c r="C19" t="s">
        <v>105</v>
      </c>
      <c r="D19">
        <v>60</v>
      </c>
      <c r="F19" s="1"/>
      <c r="G19" s="2">
        <v>45362</v>
      </c>
      <c r="H19">
        <v>60</v>
      </c>
      <c r="I19">
        <v>60</v>
      </c>
      <c r="J19">
        <v>700</v>
      </c>
    </row>
    <row r="20" spans="2:10" x14ac:dyDescent="0.25">
      <c r="B20" t="s">
        <v>116</v>
      </c>
      <c r="C20" t="s">
        <v>95</v>
      </c>
      <c r="D20">
        <v>40</v>
      </c>
      <c r="F20" s="1"/>
      <c r="G20" s="2">
        <v>45363</v>
      </c>
      <c r="H20">
        <v>40</v>
      </c>
      <c r="I20">
        <v>40</v>
      </c>
      <c r="J20">
        <v>350</v>
      </c>
    </row>
    <row r="21" spans="2:10" x14ac:dyDescent="0.25">
      <c r="B21" t="s">
        <v>117</v>
      </c>
      <c r="C21" t="s">
        <v>101</v>
      </c>
      <c r="D21">
        <v>70</v>
      </c>
      <c r="F21" s="1"/>
      <c r="G21" s="2">
        <v>45364</v>
      </c>
      <c r="H21">
        <v>70</v>
      </c>
      <c r="I21">
        <v>70</v>
      </c>
      <c r="J21">
        <v>450</v>
      </c>
    </row>
    <row r="22" spans="2:10" x14ac:dyDescent="0.25">
      <c r="B22" t="s">
        <v>118</v>
      </c>
      <c r="C22" t="s">
        <v>99</v>
      </c>
      <c r="D22">
        <v>200</v>
      </c>
      <c r="F22" s="1"/>
      <c r="G22" s="2">
        <v>45365</v>
      </c>
      <c r="H22">
        <v>200</v>
      </c>
      <c r="I22">
        <v>200</v>
      </c>
      <c r="J22">
        <v>900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ECEB-A717-4E03-A218-0EAC63341750}">
  <dimension ref="B2:I22"/>
  <sheetViews>
    <sheetView workbookViewId="0">
      <selection activeCell="I27" sqref="I27"/>
    </sheetView>
  </sheetViews>
  <sheetFormatPr baseColWidth="10" defaultRowHeight="15" x14ac:dyDescent="0.25"/>
  <sheetData>
    <row r="2" spans="2:9" x14ac:dyDescent="0.25">
      <c r="B2" t="s">
        <v>119</v>
      </c>
      <c r="C2" t="s">
        <v>120</v>
      </c>
      <c r="D2" t="s">
        <v>121</v>
      </c>
      <c r="E2" t="s">
        <v>122</v>
      </c>
      <c r="F2" t="s">
        <v>123</v>
      </c>
      <c r="G2" t="s">
        <v>124</v>
      </c>
      <c r="H2" t="s">
        <v>125</v>
      </c>
      <c r="I2" t="s">
        <v>126</v>
      </c>
    </row>
    <row r="3" spans="2:9" x14ac:dyDescent="0.25">
      <c r="B3" t="s">
        <v>127</v>
      </c>
      <c r="C3" t="s">
        <v>128</v>
      </c>
      <c r="D3">
        <v>0</v>
      </c>
      <c r="E3" s="3">
        <v>150000</v>
      </c>
      <c r="F3" s="3">
        <v>80000</v>
      </c>
      <c r="G3" s="3">
        <v>70000</v>
      </c>
      <c r="I3">
        <v>8</v>
      </c>
    </row>
    <row r="4" spans="2:9" x14ac:dyDescent="0.25">
      <c r="B4" t="s">
        <v>129</v>
      </c>
      <c r="C4" t="s">
        <v>130</v>
      </c>
      <c r="D4">
        <v>90</v>
      </c>
      <c r="E4" s="3">
        <v>120000</v>
      </c>
      <c r="F4" s="3">
        <v>60000</v>
      </c>
      <c r="G4" s="3">
        <v>60000</v>
      </c>
      <c r="I4">
        <v>7</v>
      </c>
    </row>
    <row r="5" spans="2:9" x14ac:dyDescent="0.25">
      <c r="B5" t="s">
        <v>131</v>
      </c>
      <c r="C5" t="s">
        <v>132</v>
      </c>
      <c r="D5">
        <v>45</v>
      </c>
      <c r="E5" s="3">
        <v>100000</v>
      </c>
      <c r="F5" s="3">
        <v>50000</v>
      </c>
      <c r="G5" s="3">
        <v>50000</v>
      </c>
      <c r="I5">
        <v>6</v>
      </c>
    </row>
    <row r="6" spans="2:9" x14ac:dyDescent="0.25">
      <c r="B6" t="s">
        <v>133</v>
      </c>
      <c r="C6" t="s">
        <v>134</v>
      </c>
      <c r="D6">
        <v>30</v>
      </c>
      <c r="E6" s="3">
        <v>110000</v>
      </c>
      <c r="F6" s="3">
        <v>55000</v>
      </c>
      <c r="G6" s="3">
        <v>55000</v>
      </c>
      <c r="I6">
        <v>8</v>
      </c>
    </row>
    <row r="7" spans="2:9" x14ac:dyDescent="0.25">
      <c r="B7" t="s">
        <v>135</v>
      </c>
      <c r="C7" t="s">
        <v>136</v>
      </c>
      <c r="D7">
        <v>120</v>
      </c>
      <c r="E7" s="3">
        <v>90000</v>
      </c>
      <c r="F7" s="3">
        <v>45000</v>
      </c>
      <c r="G7" s="3">
        <v>45000</v>
      </c>
      <c r="I7">
        <v>6</v>
      </c>
    </row>
    <row r="8" spans="2:9" x14ac:dyDescent="0.25">
      <c r="B8" t="s">
        <v>137</v>
      </c>
      <c r="C8" t="s">
        <v>138</v>
      </c>
      <c r="D8">
        <v>150</v>
      </c>
      <c r="E8" s="3">
        <v>80000</v>
      </c>
      <c r="F8" s="3">
        <v>40000</v>
      </c>
      <c r="G8" s="3">
        <v>40000</v>
      </c>
      <c r="I8">
        <v>7</v>
      </c>
    </row>
    <row r="9" spans="2:9" x14ac:dyDescent="0.25">
      <c r="B9" t="s">
        <v>139</v>
      </c>
      <c r="C9" t="s">
        <v>140</v>
      </c>
      <c r="D9">
        <v>200</v>
      </c>
      <c r="E9" s="3">
        <v>70000</v>
      </c>
      <c r="F9" s="3">
        <v>35000</v>
      </c>
      <c r="G9" s="3">
        <v>35000</v>
      </c>
      <c r="I9">
        <v>6</v>
      </c>
    </row>
    <row r="10" spans="2:9" x14ac:dyDescent="0.25">
      <c r="B10" t="s">
        <v>141</v>
      </c>
      <c r="C10" t="s">
        <v>142</v>
      </c>
      <c r="D10">
        <v>250</v>
      </c>
      <c r="E10" s="3">
        <v>60000</v>
      </c>
      <c r="F10" s="3">
        <v>30000</v>
      </c>
      <c r="G10" s="3">
        <v>30000</v>
      </c>
      <c r="I10">
        <v>5</v>
      </c>
    </row>
    <row r="11" spans="2:9" x14ac:dyDescent="0.25">
      <c r="B11" t="s">
        <v>143</v>
      </c>
      <c r="C11" t="s">
        <v>144</v>
      </c>
      <c r="D11">
        <v>180</v>
      </c>
      <c r="E11" s="3">
        <v>70000</v>
      </c>
      <c r="F11" s="3">
        <v>35000</v>
      </c>
      <c r="G11" s="3">
        <v>35000</v>
      </c>
      <c r="I11">
        <v>7</v>
      </c>
    </row>
    <row r="12" spans="2:9" x14ac:dyDescent="0.25">
      <c r="B12" t="s">
        <v>145</v>
      </c>
      <c r="C12" t="s">
        <v>146</v>
      </c>
      <c r="D12">
        <v>300</v>
      </c>
      <c r="E12" s="3">
        <v>50000</v>
      </c>
      <c r="F12" s="3">
        <v>25000</v>
      </c>
      <c r="G12" s="3">
        <v>25000</v>
      </c>
      <c r="I12">
        <v>5</v>
      </c>
    </row>
    <row r="13" spans="2:9" x14ac:dyDescent="0.25">
      <c r="B13" t="s">
        <v>147</v>
      </c>
      <c r="C13" t="s">
        <v>148</v>
      </c>
      <c r="D13">
        <v>160</v>
      </c>
      <c r="E13" s="3">
        <v>75000</v>
      </c>
      <c r="F13" s="3">
        <v>37000</v>
      </c>
      <c r="G13" s="3">
        <v>38000</v>
      </c>
      <c r="I13">
        <v>8</v>
      </c>
    </row>
    <row r="14" spans="2:9" x14ac:dyDescent="0.25">
      <c r="B14" t="s">
        <v>149</v>
      </c>
      <c r="C14" t="s">
        <v>150</v>
      </c>
      <c r="D14">
        <v>210</v>
      </c>
      <c r="E14" s="3">
        <v>65000</v>
      </c>
      <c r="F14" s="3">
        <v>32000</v>
      </c>
      <c r="G14" s="3">
        <v>33000</v>
      </c>
      <c r="I14">
        <v>7</v>
      </c>
    </row>
    <row r="15" spans="2:9" x14ac:dyDescent="0.25">
      <c r="B15" t="s">
        <v>151</v>
      </c>
      <c r="C15" t="s">
        <v>152</v>
      </c>
      <c r="D15">
        <v>140</v>
      </c>
      <c r="E15" s="3">
        <v>85000</v>
      </c>
      <c r="F15" s="3">
        <v>42000</v>
      </c>
      <c r="G15" s="3">
        <v>43000</v>
      </c>
      <c r="I15">
        <v>9</v>
      </c>
    </row>
    <row r="16" spans="2:9" x14ac:dyDescent="0.25">
      <c r="B16" t="s">
        <v>153</v>
      </c>
      <c r="C16" t="s">
        <v>154</v>
      </c>
      <c r="D16">
        <v>220</v>
      </c>
      <c r="E16" s="3">
        <v>55000</v>
      </c>
      <c r="F16" s="3">
        <v>27000</v>
      </c>
      <c r="G16" s="3">
        <v>28000</v>
      </c>
      <c r="I16">
        <v>6</v>
      </c>
    </row>
    <row r="17" spans="2:9" x14ac:dyDescent="0.25">
      <c r="B17" t="s">
        <v>155</v>
      </c>
      <c r="C17" t="s">
        <v>156</v>
      </c>
      <c r="D17">
        <v>270</v>
      </c>
      <c r="E17" s="3">
        <v>45000</v>
      </c>
      <c r="F17" s="3">
        <v>22000</v>
      </c>
      <c r="G17" s="3">
        <v>23000</v>
      </c>
      <c r="I17">
        <v>5</v>
      </c>
    </row>
    <row r="18" spans="2:9" x14ac:dyDescent="0.25">
      <c r="B18" t="s">
        <v>157</v>
      </c>
      <c r="C18" t="s">
        <v>158</v>
      </c>
      <c r="D18">
        <v>350</v>
      </c>
      <c r="E18" s="3">
        <v>40000</v>
      </c>
      <c r="F18" s="3">
        <v>20000</v>
      </c>
      <c r="G18" s="3">
        <v>20000</v>
      </c>
      <c r="I18">
        <v>4</v>
      </c>
    </row>
    <row r="19" spans="2:9" x14ac:dyDescent="0.25">
      <c r="B19" t="s">
        <v>159</v>
      </c>
      <c r="C19" t="s">
        <v>160</v>
      </c>
      <c r="D19">
        <v>110</v>
      </c>
      <c r="E19" s="3">
        <v>95000</v>
      </c>
      <c r="F19" s="3">
        <v>47000</v>
      </c>
      <c r="G19" s="3">
        <v>48000</v>
      </c>
      <c r="I19">
        <v>8</v>
      </c>
    </row>
    <row r="20" spans="2:9" x14ac:dyDescent="0.25">
      <c r="B20" t="s">
        <v>161</v>
      </c>
      <c r="C20" t="s">
        <v>162</v>
      </c>
      <c r="D20">
        <v>240</v>
      </c>
      <c r="E20" s="3">
        <v>75000</v>
      </c>
      <c r="F20" s="3">
        <v>37000</v>
      </c>
      <c r="G20" s="3">
        <v>38000</v>
      </c>
      <c r="I20">
        <v>7</v>
      </c>
    </row>
    <row r="21" spans="2:9" x14ac:dyDescent="0.25">
      <c r="B21" t="s">
        <v>163</v>
      </c>
      <c r="C21" t="s">
        <v>164</v>
      </c>
      <c r="D21">
        <v>200</v>
      </c>
      <c r="E21" s="3">
        <v>80000</v>
      </c>
      <c r="F21" s="3">
        <v>40000</v>
      </c>
      <c r="G21" s="3">
        <v>40000</v>
      </c>
      <c r="I21">
        <v>8</v>
      </c>
    </row>
    <row r="22" spans="2:9" x14ac:dyDescent="0.25">
      <c r="B22" t="s">
        <v>165</v>
      </c>
      <c r="C22" t="s">
        <v>166</v>
      </c>
      <c r="D22">
        <v>130</v>
      </c>
      <c r="E22" s="3">
        <v>85000</v>
      </c>
      <c r="F22" s="3">
        <v>42000</v>
      </c>
      <c r="G22" s="3">
        <v>43000</v>
      </c>
      <c r="I22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Ejemplo</vt:lpstr>
      <vt:lpstr>Ejercicio</vt:lpstr>
      <vt:lpstr>Evaluación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</dc:creator>
  <cp:lastModifiedBy>Guillermo AntonioAguirre</cp:lastModifiedBy>
  <dcterms:created xsi:type="dcterms:W3CDTF">2015-06-05T18:19:34Z</dcterms:created>
  <dcterms:modified xsi:type="dcterms:W3CDTF">2025-07-29T17:57:00Z</dcterms:modified>
</cp:coreProperties>
</file>