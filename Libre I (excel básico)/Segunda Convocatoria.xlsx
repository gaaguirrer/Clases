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 Aguirre\OneDrive - UNP Universidad Nacional Politécnica\Clases\Materias\Libre I (excel básico)\"/>
    </mc:Choice>
  </mc:AlternateContent>
  <xr:revisionPtr revIDLastSave="0" documentId="13_ncr:1_{CF34DDC5-F4D9-4F09-AA93-763A311F572B}" xr6:coauthVersionLast="47" xr6:coauthVersionMax="47" xr10:uidLastSave="{00000000-0000-0000-0000-000000000000}"/>
  <bookViews>
    <workbookView xWindow="-120" yWindow="-120" windowWidth="20730" windowHeight="11310" activeTab="7" xr2:uid="{37B82D5B-3C65-4515-A0F1-1A37708414E8}"/>
  </bookViews>
  <sheets>
    <sheet name="VA" sheetId="2" r:id="rId1"/>
    <sheet name="VF" sheetId="1" r:id="rId2"/>
    <sheet name="TASA " sheetId="3" r:id="rId3"/>
    <sheet name="PAGO " sheetId="4" r:id="rId4"/>
    <sheet name="NPER" sheetId="5" r:id="rId5"/>
    <sheet name="Buscar" sheetId="6" r:id="rId6"/>
    <sheet name="Hoja1" sheetId="7" r:id="rId7"/>
    <sheet name="Hoja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B20" i="8"/>
  <c r="D20" i="8" s="1"/>
  <c r="D19" i="8"/>
  <c r="C19" i="8"/>
  <c r="B19" i="8"/>
  <c r="C18" i="8"/>
  <c r="B18" i="8"/>
  <c r="D18" i="8" s="1"/>
  <c r="C17" i="8"/>
  <c r="B17" i="8"/>
  <c r="D17" i="8" s="1"/>
  <c r="C16" i="8"/>
  <c r="B16" i="8"/>
  <c r="D16" i="8" s="1"/>
  <c r="D15" i="8"/>
  <c r="C15" i="8"/>
  <c r="B15" i="8"/>
  <c r="C14" i="8"/>
  <c r="B14" i="8"/>
  <c r="D14" i="8" s="1"/>
  <c r="C13" i="8"/>
  <c r="B13" i="8"/>
  <c r="D13" i="8" s="1"/>
  <c r="C12" i="8"/>
  <c r="B12" i="8"/>
  <c r="D12" i="8" s="1"/>
  <c r="D11" i="8"/>
  <c r="C11" i="8"/>
  <c r="B11" i="8"/>
  <c r="C10" i="8"/>
  <c r="B10" i="8"/>
  <c r="D10" i="8" s="1"/>
  <c r="C9" i="8"/>
  <c r="B9" i="8"/>
  <c r="D9" i="8" s="1"/>
  <c r="C8" i="8"/>
  <c r="B8" i="8"/>
  <c r="D8" i="8" s="1"/>
  <c r="D7" i="8"/>
  <c r="C7" i="8"/>
  <c r="B7" i="8"/>
  <c r="C6" i="8"/>
  <c r="B6" i="8"/>
  <c r="D6" i="8" s="1"/>
  <c r="C5" i="8"/>
  <c r="B5" i="8"/>
  <c r="D5" i="8" s="1"/>
</calcChain>
</file>

<file path=xl/sharedStrings.xml><?xml version="1.0" encoding="utf-8"?>
<sst xmlns="http://schemas.openxmlformats.org/spreadsheetml/2006/main" count="374" uniqueCount="229">
  <si>
    <t>Datos</t>
  </si>
  <si>
    <t>Descripción</t>
  </si>
  <si>
    <t>Tasa de interés anual</t>
  </si>
  <si>
    <t>Número de pagos</t>
  </si>
  <si>
    <t>Importe del pago</t>
  </si>
  <si>
    <t>Valor actual</t>
  </si>
  <si>
    <t>El pago vence al principio del período (0 indica que el pago vence al final del período)</t>
  </si>
  <si>
    <t>Calcule el Valor Futuro</t>
  </si>
  <si>
    <t>Dinero pagado por una póliza de seguros al final de cada mes</t>
  </si>
  <si>
    <t>Interés ganado por el dinero pagado.</t>
  </si>
  <si>
    <t>Número de años durante los cuales se efectuarán los pagos.</t>
  </si>
  <si>
    <t>Solución</t>
  </si>
  <si>
    <t xml:space="preserve">Solución </t>
  </si>
  <si>
    <t>Nper</t>
  </si>
  <si>
    <t>Pago</t>
  </si>
  <si>
    <t>VA</t>
  </si>
  <si>
    <t>Tasa</t>
  </si>
  <si>
    <t>?</t>
  </si>
  <si>
    <t>Pago efectuado en cada período</t>
  </si>
  <si>
    <t>Valor futuro</t>
  </si>
  <si>
    <t>El pago vence al principio del período</t>
  </si>
  <si>
    <t>Calcule períodos de la inversión con los términos anteriores</t>
  </si>
  <si>
    <t>Nº</t>
  </si>
  <si>
    <t>Pokémon</t>
  </si>
  <si>
    <t>Tipo y Evolución</t>
  </si>
  <si>
    <t>Bulbasaur</t>
  </si>
  <si>
    <t>Planta / Veneno</t>
  </si>
  <si>
    <t>Ivysaur</t>
  </si>
  <si>
    <t>Venusaur</t>
  </si>
  <si>
    <t>Charmander</t>
  </si>
  <si>
    <t>Fuego</t>
  </si>
  <si>
    <t>Charmeleon</t>
  </si>
  <si>
    <t>Charizard</t>
  </si>
  <si>
    <t>Fuego / Volador</t>
  </si>
  <si>
    <t>Squirtle</t>
  </si>
  <si>
    <t>Agua</t>
  </si>
  <si>
    <t>Wartortle</t>
  </si>
  <si>
    <t>Blastoise</t>
  </si>
  <si>
    <t>Caterpie</t>
  </si>
  <si>
    <t>Bicho</t>
  </si>
  <si>
    <t>Metapod</t>
  </si>
  <si>
    <t>Butterfree</t>
  </si>
  <si>
    <t>Bicho / Volador</t>
  </si>
  <si>
    <t>Weedle</t>
  </si>
  <si>
    <t>Bicho / Veneno</t>
  </si>
  <si>
    <t>Kakuna</t>
  </si>
  <si>
    <t>Beedrill</t>
  </si>
  <si>
    <t>Pidgey</t>
  </si>
  <si>
    <t>Normal / Volador</t>
  </si>
  <si>
    <t>Pidgeotto</t>
  </si>
  <si>
    <t>Pidgeot</t>
  </si>
  <si>
    <t>Rattata</t>
  </si>
  <si>
    <t>Normal</t>
  </si>
  <si>
    <t>Raticate</t>
  </si>
  <si>
    <t>Spearow</t>
  </si>
  <si>
    <t>Fearow</t>
  </si>
  <si>
    <t>Ekans</t>
  </si>
  <si>
    <t>Veneno</t>
  </si>
  <si>
    <t>Arbok</t>
  </si>
  <si>
    <t>Pikachu</t>
  </si>
  <si>
    <t>Eléctrico</t>
  </si>
  <si>
    <t>Raichu</t>
  </si>
  <si>
    <t>Sandshrew</t>
  </si>
  <si>
    <t>Tierra</t>
  </si>
  <si>
    <t>Sandslash</t>
  </si>
  <si>
    <t>Nidoran (Hembra)</t>
  </si>
  <si>
    <t>Nidorina</t>
  </si>
  <si>
    <t>Nidoqueen</t>
  </si>
  <si>
    <t>Veneno / Tierra</t>
  </si>
  <si>
    <t>Nidoran (Macho)</t>
  </si>
  <si>
    <t>Nidorino</t>
  </si>
  <si>
    <t>Nidoking</t>
  </si>
  <si>
    <t>Clefairy</t>
  </si>
  <si>
    <t>Hada</t>
  </si>
  <si>
    <t>Clefable</t>
  </si>
  <si>
    <t>Vulpix</t>
  </si>
  <si>
    <t>Ninetales</t>
  </si>
  <si>
    <t>Jigglypuff</t>
  </si>
  <si>
    <t>Normal / Hada</t>
  </si>
  <si>
    <t>Wigglytuff</t>
  </si>
  <si>
    <t>Zubat</t>
  </si>
  <si>
    <t>Veneno / Volador</t>
  </si>
  <si>
    <t>Golbat</t>
  </si>
  <si>
    <t>Oddish</t>
  </si>
  <si>
    <t>Gloom</t>
  </si>
  <si>
    <t>Vileplume</t>
  </si>
  <si>
    <t>Paras</t>
  </si>
  <si>
    <t>Bicho / Planta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</si>
  <si>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</si>
  <si>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</si>
  <si>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</si>
  <si>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</si>
  <si>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</si>
  <si>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</si>
  <si>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</si>
  <si>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</si>
  <si>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</si>
  <si>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</si>
  <si>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Lucha</t>
  </si>
  <si>
    <t>Primeape</t>
  </si>
  <si>
    <t>Growlithe</t>
  </si>
  <si>
    <t>Arcanine</t>
  </si>
  <si>
    <t>Poliwag</t>
  </si>
  <si>
    <t>Poliwhirl</t>
  </si>
  <si>
    <t>Poliwrath</t>
  </si>
  <si>
    <t>Agua / Lucha</t>
  </si>
  <si>
    <t>Abra</t>
  </si>
  <si>
    <t>Psíquico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</si>
  <si>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</si>
  <si>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</si>
  <si>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</si>
  <si>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</si>
  <si>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</si>
  <si>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</si>
  <si>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</si>
  <si>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</si>
  <si>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</si>
  <si>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Agua / Veneno</t>
  </si>
  <si>
    <t>Tentacruel</t>
  </si>
  <si>
    <t>Geodude</t>
  </si>
  <si>
    <t>Roca / Tierra</t>
  </si>
  <si>
    <t>Graveler</t>
  </si>
  <si>
    <t>Golem</t>
  </si>
  <si>
    <t>Ponyta</t>
  </si>
  <si>
    <t>Rapidash</t>
  </si>
  <si>
    <t>Slowpoke</t>
  </si>
  <si>
    <t>Agua / Psíquico</t>
  </si>
  <si>
    <t>Slowbro</t>
  </si>
  <si>
    <t>Magnemite</t>
  </si>
  <si>
    <t>Eléctrico / Acero</t>
  </si>
  <si>
    <t>Magneton</t>
  </si>
  <si>
    <t>Farfetch'd</t>
  </si>
  <si>
    <t>Doduo</t>
  </si>
  <si>
    <t>Dodrio</t>
  </si>
  <si>
    <t>Seel</t>
  </si>
  <si>
    <t>Dewgong</t>
  </si>
  <si>
    <t>Agua / Hielo</t>
  </si>
  <si>
    <t>Grimer</t>
  </si>
  <si>
    <t>Muk</t>
  </si>
  <si>
    <t>Shellder</t>
  </si>
  <si>
    <t>Cloyster</t>
  </si>
  <si>
    <t>Gastly</t>
  </si>
  <si>
    <t>Fantasma / Veneno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</si>
  <si>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</si>
  <si>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</si>
  <si>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</si>
  <si>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</si>
  <si>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</si>
  <si>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</si>
  <si>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</si>
  <si>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</si>
  <si>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</si>
  <si>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</si>
  <si>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Planta / Psíquico</t>
  </si>
  <si>
    <t>Exegutor</t>
  </si>
  <si>
    <t>Cubone</t>
  </si>
  <si>
    <t>Marowak</t>
  </si>
  <si>
    <t>Hitmonlee</t>
  </si>
  <si>
    <t>Hitonchan</t>
  </si>
  <si>
    <t>Lickitung</t>
  </si>
  <si>
    <t>Koffing</t>
  </si>
  <si>
    <t>Weezing</t>
  </si>
  <si>
    <t>Rhyhorn</t>
  </si>
  <si>
    <t>Tierra / Roca</t>
  </si>
  <si>
    <t>Rhydon</t>
  </si>
  <si>
    <t>Chansey</t>
  </si>
  <si>
    <t>Tangela</t>
  </si>
  <si>
    <t>Planta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</si>
  <si>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</si>
  <si>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</si>
  <si>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</si>
  <si>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</si>
  <si>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</si>
  <si>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</si>
  <si>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</si>
  <si>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</si>
  <si>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Psíquico / Hada</t>
  </si>
  <si>
    <t>Scyther</t>
  </si>
  <si>
    <t>Jynx</t>
  </si>
  <si>
    <t>Hielo / Psíquico</t>
  </si>
  <si>
    <t>Electabuzz</t>
  </si>
  <si>
    <t>Magmar</t>
  </si>
  <si>
    <t>Pinsir</t>
  </si>
  <si>
    <t>Tauros</t>
  </si>
  <si>
    <t>Magikarp</t>
  </si>
  <si>
    <t>Gyarados</t>
  </si>
  <si>
    <t>Agua / Volador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</si>
  <si>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</si>
  <si>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</si>
  <si>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</si>
  <si>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</si>
  <si>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</si>
  <si>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</si>
  <si>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</si>
  <si>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</si>
  <si>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Roca / Agua</t>
  </si>
  <si>
    <t>Omastar</t>
  </si>
  <si>
    <t>Kabuto</t>
  </si>
  <si>
    <t>Kabutops</t>
  </si>
  <si>
    <t>Aerodactyl</t>
  </si>
  <si>
    <t>Roca / Volador</t>
  </si>
  <si>
    <t>Snorlax</t>
  </si>
  <si>
    <t>Articuno</t>
  </si>
  <si>
    <t>Hielo / Volador</t>
  </si>
  <si>
    <t>Zapdos</t>
  </si>
  <si>
    <t>Eléctrico / Volador</t>
  </si>
  <si>
    <t>Moltres</t>
  </si>
  <si>
    <t>Dratini</t>
  </si>
  <si>
    <t>Dragón</t>
  </si>
  <si>
    <t>Dragonair</t>
  </si>
  <si>
    <t>Dragonite</t>
  </si>
  <si>
    <t>Dragón/ Volador</t>
  </si>
  <si>
    <t>Mewtwo</t>
  </si>
  <si>
    <t>Mew</t>
  </si>
  <si>
    <t>Fecha</t>
  </si>
  <si>
    <t>Concepto</t>
  </si>
  <si>
    <t>Categoría</t>
  </si>
  <si>
    <t>Ingreso</t>
  </si>
  <si>
    <t>Gasto</t>
  </si>
  <si>
    <t>Salario</t>
  </si>
  <si>
    <t>Gasolina</t>
  </si>
  <si>
    <t>Comida</t>
  </si>
  <si>
    <t>Alquiler</t>
  </si>
  <si>
    <t>Luz</t>
  </si>
  <si>
    <t>Salida con amigos</t>
  </si>
  <si>
    <t>Ingreso extra</t>
  </si>
  <si>
    <t>Edad</t>
  </si>
  <si>
    <t>Precio</t>
  </si>
  <si>
    <t>Prefio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</si>
</sst>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0" applyNumberFormat="1"/>
    <xf numFmtId="0" fontId="2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</xdr:row>
      <xdr:rowOff>85725</xdr:rowOff>
    </xdr:from>
    <xdr:to>
      <xdr:col>13</xdr:col>
      <xdr:colOff>381000</xdr:colOff>
      <xdr:row>18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EF52C9-4EFF-7D24-F0AD-035FA410930D}"/>
            </a:ext>
          </a:extLst>
        </xdr:cNvPr>
        <xdr:cNvSpPr txBox="1"/>
      </xdr:nvSpPr>
      <xdr:spPr>
        <a:xfrm>
          <a:off x="4772025" y="466725"/>
          <a:ext cx="5514975" cy="308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Calcular los pagos mensuales de una hipoteca</a:t>
          </a:r>
        </a:p>
        <a:p>
          <a:r>
            <a:rPr lang="es-NI" sz="1100"/>
            <a:t>Imagine una casa de 180 000 dólares, con un interés del 5% y una hipoteca a 30 años.</a:t>
          </a:r>
        </a:p>
        <a:p>
          <a:r>
            <a:rPr lang="es-NI" sz="1100"/>
            <a:t>Uso de la función PAGO(Tasa,NPER,VA)</a:t>
          </a:r>
        </a:p>
        <a:p>
          <a:endParaRPr lang="es-NI" sz="1100"/>
        </a:p>
        <a:p>
          <a:endParaRPr lang="es-NI" sz="1100"/>
        </a:p>
        <a:p>
          <a:r>
            <a:rPr lang="es-NI" sz="1100"/>
            <a:t>el resultado es un pago mensual (sin incluir el seguro ni los impuestos) de 966,28 dólares.</a:t>
          </a:r>
        </a:p>
        <a:p>
          <a:r>
            <a:rPr lang="es-NI" sz="1100"/>
            <a:t>El argumento Tasa es del 5% dividido entre los 12 meses de un año.</a:t>
          </a:r>
        </a:p>
        <a:p>
          <a:r>
            <a:rPr lang="es-NI" sz="1100"/>
            <a:t>El argumento NPER es 30*12 para una hipoteca de 30 años con 12 pagos mensuales al año.</a:t>
          </a:r>
        </a:p>
        <a:p>
          <a:r>
            <a:rPr lang="es-NI" sz="1100"/>
            <a:t>El argumento VA es 180 000 (valor actual del préstamo)</a:t>
          </a:r>
        </a:p>
        <a:p>
          <a:endParaRPr lang="es-NI" sz="1100"/>
        </a:p>
        <a:p>
          <a:r>
            <a:rPr lang="es-NI" sz="1100"/>
            <a:t>Calcule</a:t>
          </a:r>
          <a:r>
            <a:rPr lang="es-NI" sz="1100" baseline="0"/>
            <a:t> el pago </a:t>
          </a:r>
          <a:endParaRPr lang="es-NI" sz="1100"/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95250</xdr:rowOff>
    </xdr:from>
    <xdr:to>
      <xdr:col>8</xdr:col>
      <xdr:colOff>742950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9F90F3B-F7D5-635A-DE09-A17199FDB449}"/>
            </a:ext>
          </a:extLst>
        </xdr:cNvPr>
        <xdr:cNvSpPr txBox="1"/>
      </xdr:nvSpPr>
      <xdr:spPr>
        <a:xfrm>
          <a:off x="5419725" y="476250"/>
          <a:ext cx="39909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Escriba una Formula que dado el número del pokemon devuelva</a:t>
          </a:r>
          <a:r>
            <a:rPr lang="es-NI" sz="1100" b="1" baseline="0"/>
            <a:t> el nombre y el tipo</a:t>
          </a:r>
        </a:p>
        <a:p>
          <a:endParaRPr lang="es-NI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4</xdr:row>
      <xdr:rowOff>180975</xdr:rowOff>
    </xdr:from>
    <xdr:to>
      <xdr:col>10</xdr:col>
      <xdr:colOff>685800</xdr:colOff>
      <xdr:row>18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64D50B0-622B-4F45-8799-ED2B41327852}"/>
            </a:ext>
          </a:extLst>
        </xdr:cNvPr>
        <xdr:cNvSpPr txBox="1"/>
      </xdr:nvSpPr>
      <xdr:spPr>
        <a:xfrm>
          <a:off x="4371975" y="942975"/>
          <a:ext cx="3409950" cy="2524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Usando </a:t>
          </a:r>
          <a:r>
            <a:rPr lang="es-NI" sz="1100" b="1"/>
            <a:t>Formato de celdas</a:t>
          </a:r>
          <a:r>
            <a:rPr lang="es-NI" sz="1100" b="1" baseline="0"/>
            <a:t> </a:t>
          </a:r>
          <a:r>
            <a:rPr lang="es-NI" sz="1100" baseline="0"/>
            <a:t>configure las celdas con el formato que conveniente para cada caso</a:t>
          </a:r>
          <a:br>
            <a:rPr lang="es-NI" sz="1100" baseline="0"/>
          </a:br>
          <a:endParaRPr lang="es-NI" sz="1100" baseline="0"/>
        </a:p>
        <a:p>
          <a:r>
            <a:rPr lang="es-NI" sz="1100" baseline="0"/>
            <a:t>Elabore </a:t>
          </a:r>
          <a:r>
            <a:rPr lang="es-NI" sz="1100" b="1" baseline="0"/>
            <a:t>un gráfico </a:t>
          </a:r>
          <a:r>
            <a:rPr lang="es-NI" sz="1100" baseline="0"/>
            <a:t>que permita comprar los ingresos con los gastos</a:t>
          </a:r>
          <a:br>
            <a:rPr lang="es-NI" sz="1100" baseline="0"/>
          </a:br>
          <a:endParaRPr lang="es-NI" sz="1100" baseline="0"/>
        </a:p>
        <a:p>
          <a:r>
            <a:rPr lang="es-NI" sz="1100" baseline="0"/>
            <a:t>Agregue </a:t>
          </a:r>
          <a:r>
            <a:rPr lang="es-NI" sz="1100" b="1" baseline="0"/>
            <a:t>formatos condicionales </a:t>
          </a:r>
          <a:r>
            <a:rPr lang="es-NI" sz="1100" baseline="0"/>
            <a:t>a las columnas "ingreso" y "gasto", para que los muestre en distintos colores dependiendo de la columna categoría </a:t>
          </a:r>
          <a:br>
            <a:rPr lang="es-NI" sz="1100" baseline="0"/>
          </a:br>
          <a:endParaRPr lang="es-NI" sz="1100" baseline="0"/>
        </a:p>
        <a:p>
          <a:r>
            <a:rPr lang="es-NI" sz="1100" b="1" baseline="0"/>
            <a:t>Totalice los ingresos y gastos </a:t>
          </a:r>
          <a:r>
            <a:rPr lang="es-NI" sz="1100" baseline="0"/>
            <a:t>y </a:t>
          </a:r>
          <a:r>
            <a:rPr lang="es-NI" sz="1100" b="1" baseline="0"/>
            <a:t>cree un balance </a:t>
          </a:r>
          <a:r>
            <a:rPr lang="es-NI" sz="1100" baseline="0"/>
            <a:t>que se deberá ver </a:t>
          </a:r>
          <a:r>
            <a:rPr lang="es-NI" sz="1100" u="sng" baseline="0"/>
            <a:t>en rojo si los ingresos superaron los gastos o en verde en caso contrario</a:t>
          </a:r>
          <a:endParaRPr lang="es-NI" sz="1100" u="sng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3</xdr:row>
      <xdr:rowOff>9525</xdr:rowOff>
    </xdr:from>
    <xdr:to>
      <xdr:col>8</xdr:col>
      <xdr:colOff>657225</xdr:colOff>
      <xdr:row>18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313E355-74B9-4F8E-AB29-1F13CC73CCE2}"/>
            </a:ext>
          </a:extLst>
        </xdr:cNvPr>
        <xdr:cNvSpPr txBox="1"/>
      </xdr:nvSpPr>
      <xdr:spPr>
        <a:xfrm>
          <a:off x="3667125" y="581025"/>
          <a:ext cx="3086100" cy="298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En este</a:t>
          </a:r>
          <a:r>
            <a:rPr lang="es-NI" sz="1100" baseline="0"/>
            <a:t> ejercicio el </a:t>
          </a:r>
          <a:r>
            <a:rPr lang="es-NI" sz="1100" b="1" baseline="0"/>
            <a:t>precio final </a:t>
          </a:r>
          <a:r>
            <a:rPr lang="es-NI" sz="1100" baseline="0"/>
            <a:t>se calcula dependiendo de la edad de la persona, la edad se convierte en el porcentaje de descuento y dicho porcentaje se aplica al precio, dando como resultado el precio final</a:t>
          </a:r>
        </a:p>
        <a:p>
          <a:endParaRPr lang="es-NI" sz="1100" baseline="0"/>
        </a:p>
        <a:p>
          <a:r>
            <a:rPr lang="es-NI" sz="1100" baseline="0"/>
            <a:t>Usted debe poner en rojo los </a:t>
          </a:r>
          <a:r>
            <a:rPr lang="es-NI" sz="1100" b="1" baseline="0"/>
            <a:t>precios finales </a:t>
          </a:r>
          <a:r>
            <a:rPr lang="es-NI" sz="1100" baseline="0"/>
            <a:t>menores 1000, nararanja los precios entre 1001 y 1500, en amarillo los precios entre 1501 y 2000 y en verde los precios mayores a 2000</a:t>
          </a:r>
          <a:endParaRPr lang="es-NI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unci&#243;n-valact-23879d31-0e02-4321-be01-da16e8168cb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vf-funci&#243;n-2eef9f44-a084-4c61-bdd8-4fe4bb1b71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rate-function-e52cd890-aa94-4723-9f90-8233a160634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microsoft.com/es-es/office/uso-de-f&#243;rmulas-de-excel-para-calcular-pagos-y-ahorros-11cb708f-c137-4ef8-bcf3-5137aaeb4b2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unci&#243;n-nper-240535b5-6653-4d2d-bfcf-b6a38151d8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1415-04CA-4405-B601-75FA276D189F}">
  <dimension ref="A1:C6"/>
  <sheetViews>
    <sheetView workbookViewId="0">
      <selection activeCell="C9" sqref="C9"/>
    </sheetView>
  </sheetViews>
  <sheetFormatPr baseColWidth="10" defaultRowHeight="15" x14ac:dyDescent="0.25"/>
  <cols>
    <col min="2" max="2" width="61.710937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500000</v>
      </c>
      <c r="B2" t="s">
        <v>8</v>
      </c>
    </row>
    <row r="3" spans="1:3" x14ac:dyDescent="0.25">
      <c r="A3" s="3">
        <v>0.08</v>
      </c>
      <c r="B3" t="s">
        <v>9</v>
      </c>
    </row>
    <row r="4" spans="1:3" x14ac:dyDescent="0.25">
      <c r="A4">
        <v>20</v>
      </c>
      <c r="B4" t="s">
        <v>10</v>
      </c>
    </row>
    <row r="5" spans="1:3" x14ac:dyDescent="0.25">
      <c r="B5" s="2" t="s">
        <v>7</v>
      </c>
    </row>
    <row r="6" spans="1:3" x14ac:dyDescent="0.25">
      <c r="C6" s="4" t="s">
        <v>11</v>
      </c>
    </row>
  </sheetData>
  <hyperlinks>
    <hyperlink ref="C6" r:id="rId1" xr:uid="{95109F2E-694C-4230-AEF0-B03A16452E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BF13-8941-4B73-9CBF-0EEB824E9C7D}">
  <dimension ref="A1:C7"/>
  <sheetViews>
    <sheetView workbookViewId="0">
      <selection activeCell="C13" sqref="C13"/>
    </sheetView>
  </sheetViews>
  <sheetFormatPr baseColWidth="10" defaultRowHeight="15" x14ac:dyDescent="0.25"/>
  <cols>
    <col min="2" max="2" width="77.57031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0.06</v>
      </c>
      <c r="B2" t="s">
        <v>2</v>
      </c>
    </row>
    <row r="3" spans="1:3" x14ac:dyDescent="0.25">
      <c r="A3">
        <v>10</v>
      </c>
      <c r="B3" t="s">
        <v>3</v>
      </c>
    </row>
    <row r="4" spans="1:3" x14ac:dyDescent="0.25">
      <c r="A4">
        <v>-200</v>
      </c>
      <c r="B4" t="s">
        <v>4</v>
      </c>
    </row>
    <row r="5" spans="1:3" x14ac:dyDescent="0.25">
      <c r="A5">
        <v>-500</v>
      </c>
      <c r="B5" t="s">
        <v>5</v>
      </c>
    </row>
    <row r="6" spans="1:3" x14ac:dyDescent="0.25">
      <c r="A6">
        <v>1</v>
      </c>
      <c r="B6" t="s">
        <v>6</v>
      </c>
    </row>
    <row r="7" spans="1:3" x14ac:dyDescent="0.25">
      <c r="B7" s="2" t="s">
        <v>7</v>
      </c>
      <c r="C7" s="4" t="s">
        <v>12</v>
      </c>
    </row>
  </sheetData>
  <hyperlinks>
    <hyperlink ref="C7" r:id="rId1" xr:uid="{30D91360-8E1C-4FAE-83B6-A36029E1B1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4348-89CB-4035-8917-282952C61B9E}">
  <dimension ref="A1:E3"/>
  <sheetViews>
    <sheetView workbookViewId="0">
      <selection activeCell="F9" sqref="F9"/>
    </sheetView>
  </sheetViews>
  <sheetFormatPr baseColWidth="10" defaultRowHeight="15" x14ac:dyDescent="0.25"/>
  <sheetData>
    <row r="1" spans="1:5" x14ac:dyDescent="0.25">
      <c r="A1" t="s">
        <v>13</v>
      </c>
      <c r="B1" t="s">
        <v>14</v>
      </c>
      <c r="C1" t="s">
        <v>15</v>
      </c>
      <c r="D1" t="s">
        <v>16</v>
      </c>
    </row>
    <row r="2" spans="1:5" x14ac:dyDescent="0.25">
      <c r="A2">
        <v>4</v>
      </c>
      <c r="B2">
        <v>-200</v>
      </c>
      <c r="C2">
        <v>8000</v>
      </c>
      <c r="D2" t="s">
        <v>17</v>
      </c>
    </row>
    <row r="3" spans="1:5" x14ac:dyDescent="0.25">
      <c r="A3">
        <v>4</v>
      </c>
      <c r="B3">
        <v>-200</v>
      </c>
      <c r="C3">
        <v>8000</v>
      </c>
      <c r="D3" t="s">
        <v>17</v>
      </c>
      <c r="E3" s="4" t="s">
        <v>11</v>
      </c>
    </row>
  </sheetData>
  <hyperlinks>
    <hyperlink ref="E3" r:id="rId1" xr:uid="{DC0B825C-602A-4E19-B877-03E4AB9F84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C26-28E8-42E0-9BEA-7995851A4E45}">
  <dimension ref="B16"/>
  <sheetViews>
    <sheetView workbookViewId="0">
      <selection activeCell="D17" sqref="D17"/>
    </sheetView>
  </sheetViews>
  <sheetFormatPr baseColWidth="10" defaultRowHeight="15" x14ac:dyDescent="0.25"/>
  <sheetData>
    <row r="16" spans="2:2" x14ac:dyDescent="0.25">
      <c r="B16" s="4" t="s">
        <v>11</v>
      </c>
    </row>
  </sheetData>
  <hyperlinks>
    <hyperlink ref="B16" r:id="rId1" xr:uid="{DAA291FF-7C28-4AB9-85EC-EC5807BACD0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080C-516A-4CE9-A230-F8E34501CF96}">
  <dimension ref="A1:D7"/>
  <sheetViews>
    <sheetView workbookViewId="0">
      <selection activeCell="D13" sqref="D13"/>
    </sheetView>
  </sheetViews>
  <sheetFormatPr baseColWidth="10" defaultRowHeight="15" x14ac:dyDescent="0.25"/>
  <cols>
    <col min="2" max="2" width="54.71093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>
        <v>0.12</v>
      </c>
      <c r="B2" t="s">
        <v>2</v>
      </c>
    </row>
    <row r="3" spans="1:4" x14ac:dyDescent="0.25">
      <c r="A3">
        <v>-100</v>
      </c>
      <c r="B3" t="s">
        <v>18</v>
      </c>
    </row>
    <row r="4" spans="1:4" x14ac:dyDescent="0.25">
      <c r="A4">
        <v>-1000</v>
      </c>
      <c r="B4" t="s">
        <v>5</v>
      </c>
    </row>
    <row r="5" spans="1:4" x14ac:dyDescent="0.25">
      <c r="A5">
        <v>10000</v>
      </c>
      <c r="B5" t="s">
        <v>19</v>
      </c>
    </row>
    <row r="6" spans="1:4" x14ac:dyDescent="0.25">
      <c r="A6">
        <v>1</v>
      </c>
      <c r="B6" t="s">
        <v>20</v>
      </c>
    </row>
    <row r="7" spans="1:4" x14ac:dyDescent="0.25">
      <c r="B7" s="2" t="s">
        <v>21</v>
      </c>
      <c r="D7" s="4" t="s">
        <v>11</v>
      </c>
    </row>
  </sheetData>
  <hyperlinks>
    <hyperlink ref="D7" r:id="rId1" xr:uid="{6454F418-C072-4893-9CC6-D7D4943E9CF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6702-8E95-4DC8-B762-6997CFC12F47}">
  <dimension ref="A1:C152"/>
  <sheetViews>
    <sheetView workbookViewId="0">
      <selection activeCell="D13" sqref="D13"/>
    </sheetView>
  </sheetViews>
  <sheetFormatPr baseColWidth="10" defaultRowHeight="15" x14ac:dyDescent="0.25"/>
  <cols>
    <col min="1" max="1" width="4" bestFit="1" customWidth="1"/>
    <col min="3" max="3" width="18.28515625" bestFit="1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>
        <v>1</v>
      </c>
      <c r="B2" t="s">
        <v>25</v>
      </c>
      <c r="C2" t="s">
        <v>26</v>
      </c>
    </row>
    <row r="3" spans="1:3" x14ac:dyDescent="0.25">
      <c r="A3">
        <v>2</v>
      </c>
      <c r="B3" t="s">
        <v>27</v>
      </c>
      <c r="C3" t="s">
        <v>26</v>
      </c>
    </row>
    <row r="4" spans="1:3" x14ac:dyDescent="0.25">
      <c r="A4">
        <v>3</v>
      </c>
      <c r="B4" t="s">
        <v>28</v>
      </c>
      <c r="C4" t="s">
        <v>26</v>
      </c>
    </row>
    <row r="5" spans="1:3" x14ac:dyDescent="0.25">
      <c r="A5">
        <v>4</v>
      </c>
      <c r="B5" t="s">
        <v>29</v>
      </c>
      <c r="C5" t="s">
        <v>30</v>
      </c>
    </row>
    <row r="6" spans="1:3" x14ac:dyDescent="0.25">
      <c r="A6">
        <v>5</v>
      </c>
      <c r="B6" t="s">
        <v>31</v>
      </c>
      <c r="C6" t="s">
        <v>30</v>
      </c>
    </row>
    <row r="7" spans="1:3" x14ac:dyDescent="0.25">
      <c r="A7">
        <v>6</v>
      </c>
      <c r="B7" t="s">
        <v>32</v>
      </c>
      <c r="C7" t="s">
        <v>33</v>
      </c>
    </row>
    <row r="8" spans="1:3" x14ac:dyDescent="0.25">
      <c r="A8">
        <v>7</v>
      </c>
      <c r="B8" t="s">
        <v>34</v>
      </c>
      <c r="C8" t="s">
        <v>35</v>
      </c>
    </row>
    <row r="9" spans="1:3" x14ac:dyDescent="0.25">
      <c r="A9">
        <v>8</v>
      </c>
      <c r="B9" t="s">
        <v>36</v>
      </c>
      <c r="C9" t="s">
        <v>35</v>
      </c>
    </row>
    <row r="10" spans="1:3" x14ac:dyDescent="0.25">
      <c r="A10">
        <v>9</v>
      </c>
      <c r="B10" t="s">
        <v>37</v>
      </c>
      <c r="C10" t="s">
        <v>35</v>
      </c>
    </row>
    <row r="11" spans="1:3" x14ac:dyDescent="0.25">
      <c r="A11">
        <v>10</v>
      </c>
      <c r="B11" t="s">
        <v>38</v>
      </c>
      <c r="C11" t="s">
        <v>39</v>
      </c>
    </row>
    <row r="12" spans="1:3" x14ac:dyDescent="0.25">
      <c r="A12">
        <v>11</v>
      </c>
      <c r="B12" t="s">
        <v>40</v>
      </c>
      <c r="C12" t="s">
        <v>39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44</v>
      </c>
    </row>
    <row r="16" spans="1:3" x14ac:dyDescent="0.25">
      <c r="A16">
        <v>15</v>
      </c>
      <c r="B16" t="s">
        <v>46</v>
      </c>
      <c r="C16" t="s">
        <v>44</v>
      </c>
    </row>
    <row r="17" spans="1:3" x14ac:dyDescent="0.25">
      <c r="A17">
        <v>16</v>
      </c>
      <c r="B17" t="s">
        <v>47</v>
      </c>
      <c r="C17" t="s">
        <v>48</v>
      </c>
    </row>
    <row r="18" spans="1:3" x14ac:dyDescent="0.25">
      <c r="A18">
        <v>17</v>
      </c>
      <c r="B18" t="s">
        <v>49</v>
      </c>
      <c r="C18" t="s">
        <v>48</v>
      </c>
    </row>
    <row r="19" spans="1:3" x14ac:dyDescent="0.25">
      <c r="A19">
        <v>18</v>
      </c>
      <c r="B19" t="s">
        <v>50</v>
      </c>
      <c r="C19" t="s">
        <v>48</v>
      </c>
    </row>
    <row r="20" spans="1:3" x14ac:dyDescent="0.25">
      <c r="A20">
        <v>19</v>
      </c>
      <c r="B20" t="s">
        <v>51</v>
      </c>
      <c r="C20" t="s">
        <v>52</v>
      </c>
    </row>
    <row r="21" spans="1:3" x14ac:dyDescent="0.25">
      <c r="A21">
        <v>20</v>
      </c>
      <c r="B21" t="s">
        <v>53</v>
      </c>
      <c r="C21" t="s">
        <v>52</v>
      </c>
    </row>
    <row r="22" spans="1:3" x14ac:dyDescent="0.25">
      <c r="A22">
        <v>21</v>
      </c>
      <c r="B22" t="s">
        <v>54</v>
      </c>
      <c r="C22" t="s">
        <v>48</v>
      </c>
    </row>
    <row r="23" spans="1:3" x14ac:dyDescent="0.25">
      <c r="A23">
        <v>22</v>
      </c>
      <c r="B23" t="s">
        <v>55</v>
      </c>
      <c r="C23" t="s">
        <v>48</v>
      </c>
    </row>
    <row r="24" spans="1:3" x14ac:dyDescent="0.25">
      <c r="A24">
        <v>23</v>
      </c>
      <c r="B24" t="s">
        <v>56</v>
      </c>
      <c r="C24" t="s">
        <v>57</v>
      </c>
    </row>
    <row r="25" spans="1:3" x14ac:dyDescent="0.25">
      <c r="A25">
        <v>24</v>
      </c>
      <c r="B25" t="s">
        <v>58</v>
      </c>
      <c r="C25" t="s">
        <v>57</v>
      </c>
    </row>
    <row r="26" spans="1:3" x14ac:dyDescent="0.25">
      <c r="A26">
        <v>25</v>
      </c>
      <c r="B26" t="s">
        <v>59</v>
      </c>
      <c r="C26" t="s">
        <v>60</v>
      </c>
    </row>
    <row r="27" spans="1:3" x14ac:dyDescent="0.25">
      <c r="A27">
        <v>26</v>
      </c>
      <c r="B27" t="s">
        <v>61</v>
      </c>
      <c r="C27" t="s">
        <v>60</v>
      </c>
    </row>
    <row r="28" spans="1:3" x14ac:dyDescent="0.25">
      <c r="A28">
        <v>27</v>
      </c>
      <c r="B28" t="s">
        <v>62</v>
      </c>
      <c r="C28" t="s">
        <v>63</v>
      </c>
    </row>
    <row r="29" spans="1:3" x14ac:dyDescent="0.25">
      <c r="A29">
        <v>28</v>
      </c>
      <c r="B29" t="s">
        <v>64</v>
      </c>
      <c r="C29" t="s">
        <v>63</v>
      </c>
    </row>
    <row r="30" spans="1:3" x14ac:dyDescent="0.25">
      <c r="A30">
        <v>29</v>
      </c>
      <c r="B30" t="s">
        <v>65</v>
      </c>
      <c r="C30" t="s">
        <v>57</v>
      </c>
    </row>
    <row r="31" spans="1:3" x14ac:dyDescent="0.25">
      <c r="A31">
        <v>30</v>
      </c>
      <c r="B31" t="s">
        <v>66</v>
      </c>
      <c r="C31" t="s">
        <v>57</v>
      </c>
    </row>
    <row r="32" spans="1:3" x14ac:dyDescent="0.25">
      <c r="A32">
        <v>31</v>
      </c>
      <c r="B32" t="s">
        <v>67</v>
      </c>
      <c r="C32" t="s">
        <v>68</v>
      </c>
    </row>
    <row r="33" spans="1:3" x14ac:dyDescent="0.25">
      <c r="A33">
        <v>32</v>
      </c>
      <c r="B33" t="s">
        <v>69</v>
      </c>
      <c r="C33" t="s">
        <v>57</v>
      </c>
    </row>
    <row r="34" spans="1:3" x14ac:dyDescent="0.25">
      <c r="A34">
        <v>33</v>
      </c>
      <c r="B34" t="s">
        <v>70</v>
      </c>
      <c r="C34" t="s">
        <v>57</v>
      </c>
    </row>
    <row r="35" spans="1:3" x14ac:dyDescent="0.25">
      <c r="A35">
        <v>34</v>
      </c>
      <c r="B35" t="s">
        <v>71</v>
      </c>
      <c r="C35" t="s">
        <v>68</v>
      </c>
    </row>
    <row r="36" spans="1:3" x14ac:dyDescent="0.25">
      <c r="A36">
        <v>35</v>
      </c>
      <c r="B36" t="s">
        <v>72</v>
      </c>
      <c r="C36" t="s">
        <v>73</v>
      </c>
    </row>
    <row r="37" spans="1:3" x14ac:dyDescent="0.25">
      <c r="A37">
        <v>36</v>
      </c>
      <c r="B37" t="s">
        <v>74</v>
      </c>
      <c r="C37" t="s">
        <v>73</v>
      </c>
    </row>
    <row r="38" spans="1:3" x14ac:dyDescent="0.25">
      <c r="A38">
        <v>37</v>
      </c>
      <c r="B38" t="s">
        <v>75</v>
      </c>
      <c r="C38" t="s">
        <v>30</v>
      </c>
    </row>
    <row r="39" spans="1:3" x14ac:dyDescent="0.25">
      <c r="A39">
        <v>38</v>
      </c>
      <c r="B39" t="s">
        <v>76</v>
      </c>
      <c r="C39" t="s">
        <v>30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79</v>
      </c>
      <c r="C41" t="s">
        <v>78</v>
      </c>
    </row>
    <row r="42" spans="1:3" x14ac:dyDescent="0.25">
      <c r="A42">
        <v>41</v>
      </c>
      <c r="B42" t="s">
        <v>80</v>
      </c>
      <c r="C42" t="s">
        <v>81</v>
      </c>
    </row>
    <row r="43" spans="1:3" x14ac:dyDescent="0.25">
      <c r="A43">
        <v>42</v>
      </c>
      <c r="B43" t="s">
        <v>82</v>
      </c>
      <c r="C43" t="s">
        <v>81</v>
      </c>
    </row>
    <row r="44" spans="1:3" x14ac:dyDescent="0.25">
      <c r="A44">
        <v>43</v>
      </c>
      <c r="B44" t="s">
        <v>83</v>
      </c>
      <c r="C44" t="s">
        <v>26</v>
      </c>
    </row>
    <row r="45" spans="1:3" x14ac:dyDescent="0.25">
      <c r="A45">
        <v>44</v>
      </c>
      <c r="B45" t="s">
        <v>84</v>
      </c>
      <c r="C45" t="s">
        <v>26</v>
      </c>
    </row>
    <row r="46" spans="1:3" x14ac:dyDescent="0.25">
      <c r="A46">
        <v>45</v>
      </c>
      <c r="B46" t="s">
        <v>85</v>
      </c>
      <c r="C46" t="s">
        <v>26</v>
      </c>
    </row>
    <row r="47" spans="1:3" x14ac:dyDescent="0.25">
      <c r="A47">
        <v>46</v>
      </c>
      <c r="B47" t="s">
        <v>86</v>
      </c>
      <c r="C47" t="s">
        <v>87</v>
      </c>
    </row>
    <row r="48" spans="1:3" x14ac:dyDescent="0.25">
      <c r="A48">
        <v>47</v>
      </c>
      <c r="B48" t="s">
        <v>88</v>
      </c>
      <c r="C48" t="s">
        <v>87</v>
      </c>
    </row>
    <row r="49" spans="1:3" x14ac:dyDescent="0.25">
      <c r="A49">
        <v>48</v>
      </c>
      <c r="B49" t="s">
        <v>89</v>
      </c>
      <c r="C49" t="s">
        <v>44</v>
      </c>
    </row>
    <row r="50" spans="1:3" x14ac:dyDescent="0.25">
      <c r="A50">
        <v>49</v>
      </c>
      <c r="B50" t="s">
        <v>90</v>
      </c>
      <c r="C50" t="s">
        <v>44</v>
      </c>
    </row>
    <row r="51" spans="1:3" x14ac:dyDescent="0.25">
      <c r="A51">
        <v>50</v>
      </c>
      <c r="B51" t="s">
        <v>91</v>
      </c>
      <c r="C51" t="s">
        <v>63</v>
      </c>
    </row>
    <row r="52" spans="1:3" x14ac:dyDescent="0.25">
      <c r="A52">
        <v>51</v>
      </c>
      <c r="B52" t="s">
        <v>92</v>
      </c>
      <c r="C52" t="s">
        <v>63</v>
      </c>
    </row>
    <row r="53" spans="1:3" x14ac:dyDescent="0.25">
      <c r="A53">
        <v>52</v>
      </c>
      <c r="B53" t="s">
        <v>93</v>
      </c>
      <c r="C53" t="s">
        <v>52</v>
      </c>
    </row>
    <row r="54" spans="1:3" x14ac:dyDescent="0.25">
      <c r="A54">
        <v>53</v>
      </c>
      <c r="B54" t="s">
        <v>94</v>
      </c>
      <c r="C54" t="s">
        <v>52</v>
      </c>
    </row>
    <row r="55" spans="1:3" x14ac:dyDescent="0.25">
      <c r="A55">
        <v>54</v>
      </c>
      <c r="B55" t="s">
        <v>95</v>
      </c>
      <c r="C55" t="s">
        <v>35</v>
      </c>
    </row>
    <row r="56" spans="1:3" x14ac:dyDescent="0.25">
      <c r="A56">
        <v>55</v>
      </c>
      <c r="B56" t="s">
        <v>96</v>
      </c>
      <c r="C56" t="s">
        <v>35</v>
      </c>
    </row>
    <row r="57" spans="1:3" x14ac:dyDescent="0.25">
      <c r="A57">
        <v>56</v>
      </c>
      <c r="B57" t="s">
        <v>97</v>
      </c>
      <c r="C57" t="s">
        <v>98</v>
      </c>
    </row>
    <row r="58" spans="1:3" x14ac:dyDescent="0.25">
      <c r="A58">
        <v>57</v>
      </c>
      <c r="B58" t="s">
        <v>99</v>
      </c>
      <c r="C58" t="s">
        <v>98</v>
      </c>
    </row>
    <row r="59" spans="1:3" x14ac:dyDescent="0.25">
      <c r="A59">
        <v>58</v>
      </c>
      <c r="B59" t="s">
        <v>100</v>
      </c>
      <c r="C59" t="s">
        <v>30</v>
      </c>
    </row>
    <row r="60" spans="1:3" x14ac:dyDescent="0.25">
      <c r="A60">
        <v>59</v>
      </c>
      <c r="B60" t="s">
        <v>101</v>
      </c>
      <c r="C60" t="s">
        <v>30</v>
      </c>
    </row>
    <row r="61" spans="1:3" x14ac:dyDescent="0.25">
      <c r="A61">
        <v>60</v>
      </c>
      <c r="B61" t="s">
        <v>102</v>
      </c>
      <c r="C61" t="s">
        <v>35</v>
      </c>
    </row>
    <row r="62" spans="1:3" x14ac:dyDescent="0.25">
      <c r="A62">
        <v>61</v>
      </c>
      <c r="B62" t="s">
        <v>103</v>
      </c>
      <c r="C62" t="s">
        <v>35</v>
      </c>
    </row>
    <row r="63" spans="1:3" x14ac:dyDescent="0.25">
      <c r="A63">
        <v>62</v>
      </c>
      <c r="B63" t="s">
        <v>104</v>
      </c>
      <c r="C63" t="s">
        <v>105</v>
      </c>
    </row>
    <row r="64" spans="1:3" x14ac:dyDescent="0.25">
      <c r="A64">
        <v>63</v>
      </c>
      <c r="B64" t="s">
        <v>106</v>
      </c>
      <c r="C64" t="s">
        <v>107</v>
      </c>
    </row>
    <row r="65" spans="1:3" x14ac:dyDescent="0.25">
      <c r="A65">
        <v>64</v>
      </c>
      <c r="B65" t="s">
        <v>108</v>
      </c>
      <c r="C65" t="s">
        <v>107</v>
      </c>
    </row>
    <row r="66" spans="1:3" x14ac:dyDescent="0.25">
      <c r="A66">
        <v>65</v>
      </c>
      <c r="B66" t="s">
        <v>109</v>
      </c>
      <c r="C66" t="s">
        <v>107</v>
      </c>
    </row>
    <row r="67" spans="1:3" x14ac:dyDescent="0.25">
      <c r="A67">
        <v>66</v>
      </c>
      <c r="B67" t="s">
        <v>110</v>
      </c>
      <c r="C67" t="s">
        <v>98</v>
      </c>
    </row>
    <row r="68" spans="1:3" x14ac:dyDescent="0.25">
      <c r="A68">
        <v>67</v>
      </c>
      <c r="B68" t="s">
        <v>111</v>
      </c>
      <c r="C68" t="s">
        <v>98</v>
      </c>
    </row>
    <row r="69" spans="1:3" x14ac:dyDescent="0.25">
      <c r="A69">
        <v>68</v>
      </c>
      <c r="B69" t="s">
        <v>112</v>
      </c>
      <c r="C69" t="s">
        <v>98</v>
      </c>
    </row>
    <row r="70" spans="1:3" x14ac:dyDescent="0.25">
      <c r="A70">
        <v>69</v>
      </c>
      <c r="B70" t="s">
        <v>113</v>
      </c>
      <c r="C70" t="s">
        <v>26</v>
      </c>
    </row>
    <row r="71" spans="1:3" x14ac:dyDescent="0.25">
      <c r="A71">
        <v>70</v>
      </c>
      <c r="B71" t="s">
        <v>114</v>
      </c>
      <c r="C71" t="s">
        <v>26</v>
      </c>
    </row>
    <row r="72" spans="1:3" x14ac:dyDescent="0.25">
      <c r="A72">
        <v>71</v>
      </c>
      <c r="B72" t="s">
        <v>115</v>
      </c>
      <c r="C72" t="s">
        <v>26</v>
      </c>
    </row>
    <row r="73" spans="1:3" x14ac:dyDescent="0.25">
      <c r="A73">
        <v>72</v>
      </c>
      <c r="B73" t="s">
        <v>116</v>
      </c>
      <c r="C73" t="s">
        <v>117</v>
      </c>
    </row>
    <row r="74" spans="1:3" x14ac:dyDescent="0.25">
      <c r="A74">
        <v>73</v>
      </c>
      <c r="B74" t="s">
        <v>118</v>
      </c>
      <c r="C74" t="s">
        <v>117</v>
      </c>
    </row>
    <row r="75" spans="1:3" x14ac:dyDescent="0.25">
      <c r="A75">
        <v>74</v>
      </c>
      <c r="B75" t="s">
        <v>119</v>
      </c>
      <c r="C75" t="s">
        <v>120</v>
      </c>
    </row>
    <row r="76" spans="1:3" x14ac:dyDescent="0.25">
      <c r="A76">
        <v>75</v>
      </c>
      <c r="B76" t="s">
        <v>121</v>
      </c>
      <c r="C76" t="s">
        <v>120</v>
      </c>
    </row>
    <row r="77" spans="1:3" x14ac:dyDescent="0.25">
      <c r="A77">
        <v>76</v>
      </c>
      <c r="B77" t="s">
        <v>122</v>
      </c>
      <c r="C77" t="s">
        <v>120</v>
      </c>
    </row>
    <row r="78" spans="1:3" x14ac:dyDescent="0.25">
      <c r="A78">
        <v>77</v>
      </c>
      <c r="B78" t="s">
        <v>123</v>
      </c>
      <c r="C78" t="s">
        <v>30</v>
      </c>
    </row>
    <row r="79" spans="1:3" x14ac:dyDescent="0.25">
      <c r="A79">
        <v>78</v>
      </c>
      <c r="B79" t="s">
        <v>124</v>
      </c>
      <c r="C79" t="s">
        <v>30</v>
      </c>
    </row>
    <row r="80" spans="1:3" x14ac:dyDescent="0.25">
      <c r="A80">
        <v>79</v>
      </c>
      <c r="B80" t="s">
        <v>125</v>
      </c>
      <c r="C80" t="s">
        <v>126</v>
      </c>
    </row>
    <row r="81" spans="1:3" x14ac:dyDescent="0.25">
      <c r="A81">
        <v>80</v>
      </c>
      <c r="B81" t="s">
        <v>127</v>
      </c>
      <c r="C81" t="s">
        <v>126</v>
      </c>
    </row>
    <row r="82" spans="1:3" x14ac:dyDescent="0.25">
      <c r="A82">
        <v>81</v>
      </c>
      <c r="B82" t="s">
        <v>128</v>
      </c>
      <c r="C82" t="s">
        <v>129</v>
      </c>
    </row>
    <row r="83" spans="1:3" x14ac:dyDescent="0.25">
      <c r="A83">
        <v>82</v>
      </c>
      <c r="B83" t="s">
        <v>130</v>
      </c>
      <c r="C83" t="s">
        <v>129</v>
      </c>
    </row>
    <row r="84" spans="1:3" x14ac:dyDescent="0.25">
      <c r="A84">
        <v>83</v>
      </c>
      <c r="B84" t="s">
        <v>131</v>
      </c>
      <c r="C84" t="s">
        <v>48</v>
      </c>
    </row>
    <row r="85" spans="1:3" x14ac:dyDescent="0.25">
      <c r="A85">
        <v>84</v>
      </c>
      <c r="B85" t="s">
        <v>132</v>
      </c>
      <c r="C85" t="s">
        <v>48</v>
      </c>
    </row>
    <row r="86" spans="1:3" x14ac:dyDescent="0.25">
      <c r="A86">
        <v>85</v>
      </c>
      <c r="B86" t="s">
        <v>133</v>
      </c>
      <c r="C86" t="s">
        <v>48</v>
      </c>
    </row>
    <row r="87" spans="1:3" x14ac:dyDescent="0.25">
      <c r="A87">
        <v>86</v>
      </c>
      <c r="B87" t="s">
        <v>134</v>
      </c>
      <c r="C87" t="s">
        <v>35</v>
      </c>
    </row>
    <row r="88" spans="1:3" x14ac:dyDescent="0.25">
      <c r="A88">
        <v>87</v>
      </c>
      <c r="B88" t="s">
        <v>135</v>
      </c>
      <c r="C88" t="s">
        <v>136</v>
      </c>
    </row>
    <row r="89" spans="1:3" x14ac:dyDescent="0.25">
      <c r="A89">
        <v>88</v>
      </c>
      <c r="B89" t="s">
        <v>137</v>
      </c>
      <c r="C89" t="s">
        <v>57</v>
      </c>
    </row>
    <row r="90" spans="1:3" x14ac:dyDescent="0.25">
      <c r="A90">
        <v>89</v>
      </c>
      <c r="B90" t="s">
        <v>138</v>
      </c>
      <c r="C90" t="s">
        <v>57</v>
      </c>
    </row>
    <row r="91" spans="1:3" x14ac:dyDescent="0.25">
      <c r="A91">
        <v>90</v>
      </c>
      <c r="B91" t="s">
        <v>139</v>
      </c>
      <c r="C91" t="s">
        <v>35</v>
      </c>
    </row>
    <row r="92" spans="1:3" x14ac:dyDescent="0.25">
      <c r="A92">
        <v>91</v>
      </c>
      <c r="B92" t="s">
        <v>140</v>
      </c>
      <c r="C92" t="s">
        <v>136</v>
      </c>
    </row>
    <row r="93" spans="1:3" x14ac:dyDescent="0.25">
      <c r="A93">
        <v>92</v>
      </c>
      <c r="B93" t="s">
        <v>141</v>
      </c>
      <c r="C93" t="s">
        <v>142</v>
      </c>
    </row>
    <row r="94" spans="1:3" x14ac:dyDescent="0.25">
      <c r="A94">
        <v>93</v>
      </c>
      <c r="B94" t="s">
        <v>143</v>
      </c>
      <c r="C94" t="s">
        <v>142</v>
      </c>
    </row>
    <row r="95" spans="1:3" x14ac:dyDescent="0.25">
      <c r="A95">
        <v>94</v>
      </c>
      <c r="B95" t="s">
        <v>144</v>
      </c>
      <c r="C95" t="s">
        <v>142</v>
      </c>
    </row>
    <row r="96" spans="1:3" x14ac:dyDescent="0.25">
      <c r="A96">
        <v>95</v>
      </c>
      <c r="B96" t="s">
        <v>145</v>
      </c>
      <c r="C96" t="s">
        <v>120</v>
      </c>
    </row>
    <row r="97" spans="1:3" x14ac:dyDescent="0.25">
      <c r="A97">
        <v>96</v>
      </c>
      <c r="B97" t="s">
        <v>146</v>
      </c>
      <c r="C97" t="s">
        <v>107</v>
      </c>
    </row>
    <row r="98" spans="1:3" x14ac:dyDescent="0.25">
      <c r="A98">
        <v>97</v>
      </c>
      <c r="B98" t="s">
        <v>147</v>
      </c>
      <c r="C98" t="s">
        <v>107</v>
      </c>
    </row>
    <row r="99" spans="1:3" x14ac:dyDescent="0.25">
      <c r="A99">
        <v>98</v>
      </c>
      <c r="B99" t="s">
        <v>148</v>
      </c>
      <c r="C99" t="s">
        <v>35</v>
      </c>
    </row>
    <row r="100" spans="1:3" x14ac:dyDescent="0.25">
      <c r="A100">
        <v>99</v>
      </c>
      <c r="B100" t="s">
        <v>149</v>
      </c>
      <c r="C100" t="s">
        <v>35</v>
      </c>
    </row>
    <row r="101" spans="1:3" x14ac:dyDescent="0.25">
      <c r="A101">
        <v>100</v>
      </c>
      <c r="B101" t="s">
        <v>150</v>
      </c>
      <c r="C101" t="s">
        <v>60</v>
      </c>
    </row>
    <row r="102" spans="1:3" x14ac:dyDescent="0.25">
      <c r="A102">
        <v>101</v>
      </c>
      <c r="B102" t="s">
        <v>151</v>
      </c>
      <c r="C102" t="s">
        <v>60</v>
      </c>
    </row>
    <row r="103" spans="1:3" x14ac:dyDescent="0.25">
      <c r="A103">
        <v>102</v>
      </c>
      <c r="B103" t="s">
        <v>152</v>
      </c>
      <c r="C103" t="s">
        <v>153</v>
      </c>
    </row>
    <row r="104" spans="1:3" x14ac:dyDescent="0.25">
      <c r="A104">
        <v>103</v>
      </c>
      <c r="B104" t="s">
        <v>154</v>
      </c>
      <c r="C104" t="s">
        <v>153</v>
      </c>
    </row>
    <row r="105" spans="1:3" x14ac:dyDescent="0.25">
      <c r="A105">
        <v>104</v>
      </c>
      <c r="B105" t="s">
        <v>155</v>
      </c>
      <c r="C105" t="s">
        <v>63</v>
      </c>
    </row>
    <row r="106" spans="1:3" x14ac:dyDescent="0.25">
      <c r="A106">
        <v>105</v>
      </c>
      <c r="B106" t="s">
        <v>156</v>
      </c>
      <c r="C106" t="s">
        <v>63</v>
      </c>
    </row>
    <row r="107" spans="1:3" x14ac:dyDescent="0.25">
      <c r="A107">
        <v>106</v>
      </c>
      <c r="B107" t="s">
        <v>157</v>
      </c>
      <c r="C107" t="s">
        <v>98</v>
      </c>
    </row>
    <row r="108" spans="1:3" x14ac:dyDescent="0.25">
      <c r="A108">
        <v>107</v>
      </c>
      <c r="B108" t="s">
        <v>158</v>
      </c>
      <c r="C108" t="s">
        <v>98</v>
      </c>
    </row>
    <row r="109" spans="1:3" x14ac:dyDescent="0.25">
      <c r="A109">
        <v>108</v>
      </c>
      <c r="B109" t="s">
        <v>159</v>
      </c>
      <c r="C109" t="s">
        <v>52</v>
      </c>
    </row>
    <row r="110" spans="1:3" x14ac:dyDescent="0.25">
      <c r="A110">
        <v>109</v>
      </c>
      <c r="B110" t="s">
        <v>160</v>
      </c>
      <c r="C110" t="s">
        <v>57</v>
      </c>
    </row>
    <row r="111" spans="1:3" x14ac:dyDescent="0.25">
      <c r="A111">
        <v>110</v>
      </c>
      <c r="B111" t="s">
        <v>161</v>
      </c>
      <c r="C111" t="s">
        <v>57</v>
      </c>
    </row>
    <row r="112" spans="1:3" x14ac:dyDescent="0.25">
      <c r="A112">
        <v>111</v>
      </c>
      <c r="B112" t="s">
        <v>162</v>
      </c>
      <c r="C112" t="s">
        <v>163</v>
      </c>
    </row>
    <row r="113" spans="1:3" x14ac:dyDescent="0.25">
      <c r="A113">
        <v>112</v>
      </c>
      <c r="B113" t="s">
        <v>164</v>
      </c>
      <c r="C113" t="s">
        <v>163</v>
      </c>
    </row>
    <row r="114" spans="1:3" x14ac:dyDescent="0.25">
      <c r="A114">
        <v>113</v>
      </c>
      <c r="B114" t="s">
        <v>165</v>
      </c>
      <c r="C114" t="s">
        <v>52</v>
      </c>
    </row>
    <row r="115" spans="1:3" x14ac:dyDescent="0.25">
      <c r="A115">
        <v>114</v>
      </c>
      <c r="B115" t="s">
        <v>166</v>
      </c>
      <c r="C115" t="s">
        <v>167</v>
      </c>
    </row>
    <row r="116" spans="1:3" x14ac:dyDescent="0.25">
      <c r="A116">
        <v>115</v>
      </c>
      <c r="B116" t="s">
        <v>168</v>
      </c>
      <c r="C116" t="s">
        <v>52</v>
      </c>
    </row>
    <row r="117" spans="1:3" x14ac:dyDescent="0.25">
      <c r="A117">
        <v>116</v>
      </c>
      <c r="B117" t="s">
        <v>169</v>
      </c>
      <c r="C117" t="s">
        <v>35</v>
      </c>
    </row>
    <row r="118" spans="1:3" x14ac:dyDescent="0.25">
      <c r="A118">
        <v>117</v>
      </c>
      <c r="B118" t="s">
        <v>170</v>
      </c>
      <c r="C118" t="s">
        <v>35</v>
      </c>
    </row>
    <row r="119" spans="1:3" x14ac:dyDescent="0.25">
      <c r="A119">
        <v>118</v>
      </c>
      <c r="B119" t="s">
        <v>171</v>
      </c>
      <c r="C119" t="s">
        <v>35</v>
      </c>
    </row>
    <row r="120" spans="1:3" x14ac:dyDescent="0.25">
      <c r="A120">
        <v>119</v>
      </c>
      <c r="B120" t="s">
        <v>172</v>
      </c>
      <c r="C120" t="s">
        <v>35</v>
      </c>
    </row>
    <row r="121" spans="1:3" x14ac:dyDescent="0.25">
      <c r="A121">
        <v>120</v>
      </c>
      <c r="B121" t="s">
        <v>173</v>
      </c>
      <c r="C121" t="s">
        <v>35</v>
      </c>
    </row>
    <row r="122" spans="1:3" x14ac:dyDescent="0.25">
      <c r="A122">
        <v>121</v>
      </c>
      <c r="B122" t="s">
        <v>174</v>
      </c>
      <c r="C122" t="s">
        <v>126</v>
      </c>
    </row>
    <row r="123" spans="1:3" x14ac:dyDescent="0.25">
      <c r="A123">
        <v>122</v>
      </c>
      <c r="B123" t="s">
        <v>175</v>
      </c>
      <c r="C123" t="s">
        <v>176</v>
      </c>
    </row>
    <row r="124" spans="1:3" x14ac:dyDescent="0.25">
      <c r="A124">
        <v>123</v>
      </c>
      <c r="B124" t="s">
        <v>177</v>
      </c>
      <c r="C124" t="s">
        <v>42</v>
      </c>
    </row>
    <row r="125" spans="1:3" x14ac:dyDescent="0.25">
      <c r="A125">
        <v>124</v>
      </c>
      <c r="B125" t="s">
        <v>178</v>
      </c>
      <c r="C125" t="s">
        <v>179</v>
      </c>
    </row>
    <row r="126" spans="1:3" x14ac:dyDescent="0.25">
      <c r="A126">
        <v>125</v>
      </c>
      <c r="B126" t="s">
        <v>180</v>
      </c>
      <c r="C126" t="s">
        <v>60</v>
      </c>
    </row>
    <row r="127" spans="1:3" x14ac:dyDescent="0.25">
      <c r="A127">
        <v>126</v>
      </c>
      <c r="B127" t="s">
        <v>181</v>
      </c>
      <c r="C127" t="s">
        <v>30</v>
      </c>
    </row>
    <row r="128" spans="1:3" x14ac:dyDescent="0.25">
      <c r="A128">
        <v>127</v>
      </c>
      <c r="B128" t="s">
        <v>182</v>
      </c>
      <c r="C128" t="s">
        <v>39</v>
      </c>
    </row>
    <row r="129" spans="1:3" x14ac:dyDescent="0.25">
      <c r="A129">
        <v>128</v>
      </c>
      <c r="B129" t="s">
        <v>183</v>
      </c>
      <c r="C129" t="s">
        <v>52</v>
      </c>
    </row>
    <row r="130" spans="1:3" x14ac:dyDescent="0.25">
      <c r="A130">
        <v>129</v>
      </c>
      <c r="B130" t="s">
        <v>184</v>
      </c>
      <c r="C130" t="s">
        <v>35</v>
      </c>
    </row>
    <row r="131" spans="1:3" x14ac:dyDescent="0.25">
      <c r="A131">
        <v>130</v>
      </c>
      <c r="B131" t="s">
        <v>185</v>
      </c>
      <c r="C131" t="s">
        <v>186</v>
      </c>
    </row>
    <row r="132" spans="1:3" x14ac:dyDescent="0.25">
      <c r="A132">
        <v>131</v>
      </c>
      <c r="B132" t="s">
        <v>187</v>
      </c>
      <c r="C132" t="s">
        <v>136</v>
      </c>
    </row>
    <row r="133" spans="1:3" x14ac:dyDescent="0.25">
      <c r="A133">
        <v>132</v>
      </c>
      <c r="B133" t="s">
        <v>188</v>
      </c>
      <c r="C133" t="s">
        <v>52</v>
      </c>
    </row>
    <row r="134" spans="1:3" x14ac:dyDescent="0.25">
      <c r="A134">
        <v>133</v>
      </c>
      <c r="B134" t="s">
        <v>189</v>
      </c>
      <c r="C134" t="s">
        <v>52</v>
      </c>
    </row>
    <row r="135" spans="1:3" x14ac:dyDescent="0.25">
      <c r="A135">
        <v>134</v>
      </c>
      <c r="B135" t="s">
        <v>190</v>
      </c>
      <c r="C135" t="s">
        <v>35</v>
      </c>
    </row>
    <row r="136" spans="1:3" x14ac:dyDescent="0.25">
      <c r="A136">
        <v>135</v>
      </c>
      <c r="B136" t="s">
        <v>191</v>
      </c>
      <c r="C136" t="s">
        <v>60</v>
      </c>
    </row>
    <row r="137" spans="1:3" x14ac:dyDescent="0.25">
      <c r="A137">
        <v>136</v>
      </c>
      <c r="B137" t="s">
        <v>192</v>
      </c>
      <c r="C137" t="s">
        <v>30</v>
      </c>
    </row>
    <row r="138" spans="1:3" x14ac:dyDescent="0.25">
      <c r="A138">
        <v>137</v>
      </c>
      <c r="B138" t="s">
        <v>193</v>
      </c>
      <c r="C138" t="s">
        <v>52</v>
      </c>
    </row>
    <row r="139" spans="1:3" x14ac:dyDescent="0.25">
      <c r="A139">
        <v>138</v>
      </c>
      <c r="B139" t="s">
        <v>194</v>
      </c>
      <c r="C139" t="s">
        <v>195</v>
      </c>
    </row>
    <row r="140" spans="1:3" x14ac:dyDescent="0.25">
      <c r="A140">
        <v>139</v>
      </c>
      <c r="B140" t="s">
        <v>196</v>
      </c>
      <c r="C140" t="s">
        <v>195</v>
      </c>
    </row>
    <row r="141" spans="1:3" x14ac:dyDescent="0.25">
      <c r="A141">
        <v>140</v>
      </c>
      <c r="B141" t="s">
        <v>197</v>
      </c>
      <c r="C141" t="s">
        <v>195</v>
      </c>
    </row>
    <row r="142" spans="1:3" x14ac:dyDescent="0.25">
      <c r="A142">
        <v>141</v>
      </c>
      <c r="B142" t="s">
        <v>198</v>
      </c>
      <c r="C142" t="s">
        <v>195</v>
      </c>
    </row>
    <row r="143" spans="1:3" x14ac:dyDescent="0.25">
      <c r="A143">
        <v>142</v>
      </c>
      <c r="B143" t="s">
        <v>199</v>
      </c>
      <c r="C143" t="s">
        <v>200</v>
      </c>
    </row>
    <row r="144" spans="1:3" x14ac:dyDescent="0.25">
      <c r="A144">
        <v>143</v>
      </c>
      <c r="B144" t="s">
        <v>201</v>
      </c>
      <c r="C144" t="s">
        <v>52</v>
      </c>
    </row>
    <row r="145" spans="1:3" x14ac:dyDescent="0.25">
      <c r="A145">
        <v>144</v>
      </c>
      <c r="B145" t="s">
        <v>202</v>
      </c>
      <c r="C145" t="s">
        <v>203</v>
      </c>
    </row>
    <row r="146" spans="1:3" x14ac:dyDescent="0.25">
      <c r="A146">
        <v>145</v>
      </c>
      <c r="B146" t="s">
        <v>204</v>
      </c>
      <c r="C146" t="s">
        <v>205</v>
      </c>
    </row>
    <row r="147" spans="1:3" x14ac:dyDescent="0.25">
      <c r="A147">
        <v>146</v>
      </c>
      <c r="B147" t="s">
        <v>206</v>
      </c>
      <c r="C147" t="s">
        <v>33</v>
      </c>
    </row>
    <row r="148" spans="1:3" x14ac:dyDescent="0.25">
      <c r="A148">
        <v>147</v>
      </c>
      <c r="B148" t="s">
        <v>207</v>
      </c>
      <c r="C148" t="s">
        <v>208</v>
      </c>
    </row>
    <row r="149" spans="1:3" x14ac:dyDescent="0.25">
      <c r="A149">
        <v>148</v>
      </c>
      <c r="B149" t="s">
        <v>209</v>
      </c>
      <c r="C149" t="s">
        <v>208</v>
      </c>
    </row>
    <row r="150" spans="1:3" x14ac:dyDescent="0.25">
      <c r="A150">
        <v>149</v>
      </c>
      <c r="B150" t="s">
        <v>210</v>
      </c>
      <c r="C150" t="s">
        <v>211</v>
      </c>
    </row>
    <row r="151" spans="1:3" x14ac:dyDescent="0.25">
      <c r="A151">
        <v>150</v>
      </c>
      <c r="B151" t="s">
        <v>212</v>
      </c>
      <c r="C151" t="s">
        <v>107</v>
      </c>
    </row>
    <row r="152" spans="1:3" x14ac:dyDescent="0.25">
      <c r="A152">
        <v>151</v>
      </c>
      <c r="B152" t="s">
        <v>213</v>
      </c>
      <c r="C152" t="s">
        <v>107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906A-27A2-4BED-A88E-98F081546871}">
  <dimension ref="B5:F19"/>
  <sheetViews>
    <sheetView workbookViewId="0">
      <selection activeCell="I14" sqref="I14"/>
    </sheetView>
  </sheetViews>
  <sheetFormatPr baseColWidth="10" defaultRowHeight="15" x14ac:dyDescent="0.25"/>
  <cols>
    <col min="2" max="2" width="9.7109375" bestFit="1" customWidth="1"/>
    <col min="3" max="3" width="16.7109375" bestFit="1" customWidth="1"/>
    <col min="4" max="4" width="9.28515625" bestFit="1" customWidth="1"/>
    <col min="5" max="5" width="7.5703125" bestFit="1" customWidth="1"/>
    <col min="6" max="6" width="6" bestFit="1" customWidth="1"/>
  </cols>
  <sheetData>
    <row r="5" spans="2:6" x14ac:dyDescent="0.25">
      <c r="B5" t="s">
        <v>214</v>
      </c>
      <c r="C5" t="s">
        <v>215</v>
      </c>
      <c r="D5" t="s">
        <v>216</v>
      </c>
      <c r="E5" t="s">
        <v>217</v>
      </c>
      <c r="F5" t="s">
        <v>218</v>
      </c>
    </row>
    <row r="6" spans="2:6" x14ac:dyDescent="0.25">
      <c r="B6" s="5">
        <v>44958</v>
      </c>
      <c r="C6" t="s">
        <v>219</v>
      </c>
      <c r="D6" t="s">
        <v>217</v>
      </c>
      <c r="E6">
        <v>5000</v>
      </c>
    </row>
    <row r="7" spans="2:6" x14ac:dyDescent="0.25">
      <c r="B7" s="5">
        <v>44960</v>
      </c>
      <c r="C7" t="s">
        <v>220</v>
      </c>
      <c r="D7" t="s">
        <v>218</v>
      </c>
      <c r="F7">
        <v>40</v>
      </c>
    </row>
    <row r="8" spans="2:6" x14ac:dyDescent="0.25">
      <c r="B8" s="5">
        <v>44962</v>
      </c>
      <c r="C8" t="s">
        <v>221</v>
      </c>
      <c r="D8" t="s">
        <v>218</v>
      </c>
      <c r="F8">
        <v>25</v>
      </c>
    </row>
    <row r="9" spans="2:6" x14ac:dyDescent="0.25">
      <c r="B9" s="5">
        <v>44967</v>
      </c>
      <c r="C9" t="s">
        <v>222</v>
      </c>
      <c r="D9" t="s">
        <v>218</v>
      </c>
      <c r="F9">
        <v>700</v>
      </c>
    </row>
    <row r="10" spans="2:6" x14ac:dyDescent="0.25">
      <c r="B10" s="5">
        <v>44972</v>
      </c>
      <c r="C10" t="s">
        <v>223</v>
      </c>
      <c r="D10" t="s">
        <v>218</v>
      </c>
      <c r="F10">
        <v>120</v>
      </c>
    </row>
    <row r="11" spans="2:6" x14ac:dyDescent="0.25">
      <c r="B11" s="5">
        <v>44977</v>
      </c>
      <c r="C11" t="s">
        <v>224</v>
      </c>
      <c r="D11" t="s">
        <v>218</v>
      </c>
      <c r="F11">
        <v>90</v>
      </c>
    </row>
    <row r="12" spans="2:6" x14ac:dyDescent="0.25">
      <c r="B12" s="5">
        <v>44982</v>
      </c>
      <c r="C12" t="s">
        <v>225</v>
      </c>
      <c r="D12" t="s">
        <v>217</v>
      </c>
      <c r="E12">
        <v>1500</v>
      </c>
    </row>
    <row r="13" spans="2:6" x14ac:dyDescent="0.25">
      <c r="B13" s="5">
        <v>44986</v>
      </c>
      <c r="C13" t="s">
        <v>219</v>
      </c>
      <c r="D13" t="s">
        <v>217</v>
      </c>
      <c r="E13">
        <v>5000</v>
      </c>
    </row>
    <row r="14" spans="2:6" x14ac:dyDescent="0.25">
      <c r="B14" s="5">
        <v>44988</v>
      </c>
      <c r="C14" t="s">
        <v>220</v>
      </c>
      <c r="D14" t="s">
        <v>218</v>
      </c>
      <c r="F14">
        <v>30</v>
      </c>
    </row>
    <row r="15" spans="2:6" x14ac:dyDescent="0.25">
      <c r="B15" s="5">
        <v>44990</v>
      </c>
      <c r="C15" t="s">
        <v>221</v>
      </c>
      <c r="D15" t="s">
        <v>218</v>
      </c>
      <c r="F15">
        <v>35</v>
      </c>
    </row>
    <row r="16" spans="2:6" x14ac:dyDescent="0.25">
      <c r="B16" s="5">
        <v>44995</v>
      </c>
      <c r="C16" t="s">
        <v>222</v>
      </c>
      <c r="D16" t="s">
        <v>218</v>
      </c>
      <c r="F16">
        <v>700</v>
      </c>
    </row>
    <row r="17" spans="2:6" x14ac:dyDescent="0.25">
      <c r="B17" s="5">
        <v>45000</v>
      </c>
      <c r="C17" t="s">
        <v>223</v>
      </c>
      <c r="D17" t="s">
        <v>218</v>
      </c>
      <c r="F17">
        <v>90</v>
      </c>
    </row>
    <row r="18" spans="2:6" x14ac:dyDescent="0.25">
      <c r="B18" s="5">
        <v>45005</v>
      </c>
      <c r="C18" t="s">
        <v>224</v>
      </c>
      <c r="D18" t="s">
        <v>218</v>
      </c>
      <c r="F18">
        <v>75</v>
      </c>
    </row>
    <row r="19" spans="2:6" x14ac:dyDescent="0.25">
      <c r="B19" s="5">
        <v>45010</v>
      </c>
      <c r="C19" t="s">
        <v>225</v>
      </c>
      <c r="D19" t="s">
        <v>217</v>
      </c>
      <c r="E19">
        <v>2000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F487-487E-4E96-96CF-E496F5B6E79F}">
  <dimension ref="B4:D20"/>
  <sheetViews>
    <sheetView tabSelected="1" workbookViewId="0">
      <selection activeCell="L9" sqref="L9"/>
    </sheetView>
  </sheetViews>
  <sheetFormatPr baseColWidth="10" defaultRowHeight="15" x14ac:dyDescent="0.25"/>
  <sheetData>
    <row r="4" spans="2:4" x14ac:dyDescent="0.25">
      <c r="B4" t="s">
        <v>226</v>
      </c>
      <c r="C4" t="s">
        <v>227</v>
      </c>
      <c r="D4" t="s">
        <v>228</v>
      </c>
    </row>
    <row r="5" spans="2:4" x14ac:dyDescent="0.25">
      <c r="B5">
        <f ca="1">RANDBETWEEN(18,100)</f>
        <v>33</v>
      </c>
      <c r="C5">
        <f ca="1">RANDBETWEEN(1000,3000)</f>
        <v>2577</v>
      </c>
      <c r="D5">
        <f ca="1">(1-(B5/100))*C5</f>
        <v>1726.59</v>
      </c>
    </row>
    <row r="6" spans="2:4" x14ac:dyDescent="0.25">
      <c r="B6">
        <f t="shared" ref="B6:B20" ca="1" si="0">RANDBETWEEN(18,100)</f>
        <v>76</v>
      </c>
      <c r="C6">
        <f t="shared" ref="C6:C20" ca="1" si="1">RANDBETWEEN(1000,3000)</f>
        <v>1141</v>
      </c>
      <c r="D6">
        <f t="shared" ref="D6:D20" ca="1" si="2">(1-(B6/100))*C6</f>
        <v>273.83999999999997</v>
      </c>
    </row>
    <row r="7" spans="2:4" x14ac:dyDescent="0.25">
      <c r="B7">
        <f t="shared" ca="1" si="0"/>
        <v>65</v>
      </c>
      <c r="C7">
        <f t="shared" ca="1" si="1"/>
        <v>1347</v>
      </c>
      <c r="D7">
        <f t="shared" ca="1" si="2"/>
        <v>471.45</v>
      </c>
    </row>
    <row r="8" spans="2:4" x14ac:dyDescent="0.25">
      <c r="B8">
        <f t="shared" ca="1" si="0"/>
        <v>59</v>
      </c>
      <c r="C8">
        <f t="shared" ca="1" si="1"/>
        <v>2376</v>
      </c>
      <c r="D8">
        <f t="shared" ca="1" si="2"/>
        <v>974.16000000000008</v>
      </c>
    </row>
    <row r="9" spans="2:4" x14ac:dyDescent="0.25">
      <c r="B9">
        <f t="shared" ca="1" si="0"/>
        <v>45</v>
      </c>
      <c r="C9">
        <f t="shared" ca="1" si="1"/>
        <v>2067</v>
      </c>
      <c r="D9">
        <f t="shared" ca="1" si="2"/>
        <v>1136.8500000000001</v>
      </c>
    </row>
    <row r="10" spans="2:4" x14ac:dyDescent="0.25">
      <c r="B10">
        <f t="shared" ca="1" si="0"/>
        <v>52</v>
      </c>
      <c r="C10">
        <f t="shared" ca="1" si="1"/>
        <v>2435</v>
      </c>
      <c r="D10">
        <f t="shared" ca="1" si="2"/>
        <v>1168.8</v>
      </c>
    </row>
    <row r="11" spans="2:4" x14ac:dyDescent="0.25">
      <c r="B11">
        <f t="shared" ca="1" si="0"/>
        <v>30</v>
      </c>
      <c r="C11">
        <f t="shared" ca="1" si="1"/>
        <v>2712</v>
      </c>
      <c r="D11">
        <f t="shared" ca="1" si="2"/>
        <v>1898.3999999999999</v>
      </c>
    </row>
    <row r="12" spans="2:4" x14ac:dyDescent="0.25">
      <c r="B12">
        <f t="shared" ca="1" si="0"/>
        <v>95</v>
      </c>
      <c r="C12">
        <f t="shared" ca="1" si="1"/>
        <v>2864</v>
      </c>
      <c r="D12">
        <f t="shared" ca="1" si="2"/>
        <v>143.20000000000013</v>
      </c>
    </row>
    <row r="13" spans="2:4" x14ac:dyDescent="0.25">
      <c r="B13">
        <f t="shared" ca="1" si="0"/>
        <v>77</v>
      </c>
      <c r="C13">
        <f t="shared" ca="1" si="1"/>
        <v>2250</v>
      </c>
      <c r="D13">
        <f t="shared" ca="1" si="2"/>
        <v>517.5</v>
      </c>
    </row>
    <row r="14" spans="2:4" x14ac:dyDescent="0.25">
      <c r="B14">
        <f t="shared" ca="1" si="0"/>
        <v>63</v>
      </c>
      <c r="C14">
        <f t="shared" ca="1" si="1"/>
        <v>2258</v>
      </c>
      <c r="D14">
        <f t="shared" ca="1" si="2"/>
        <v>835.46</v>
      </c>
    </row>
    <row r="15" spans="2:4" x14ac:dyDescent="0.25">
      <c r="B15">
        <f t="shared" ca="1" si="0"/>
        <v>97</v>
      </c>
      <c r="C15">
        <f t="shared" ca="1" si="1"/>
        <v>1824</v>
      </c>
      <c r="D15">
        <f t="shared" ca="1" si="2"/>
        <v>54.720000000000049</v>
      </c>
    </row>
    <row r="16" spans="2:4" x14ac:dyDescent="0.25">
      <c r="B16">
        <f t="shared" ca="1" si="0"/>
        <v>52</v>
      </c>
      <c r="C16">
        <f t="shared" ca="1" si="1"/>
        <v>1645</v>
      </c>
      <c r="D16">
        <f t="shared" ca="1" si="2"/>
        <v>789.6</v>
      </c>
    </row>
    <row r="17" spans="2:4" x14ac:dyDescent="0.25">
      <c r="B17">
        <f t="shared" ca="1" si="0"/>
        <v>57</v>
      </c>
      <c r="C17">
        <f t="shared" ca="1" si="1"/>
        <v>2400</v>
      </c>
      <c r="D17">
        <f t="shared" ca="1" si="2"/>
        <v>1032.0000000000002</v>
      </c>
    </row>
    <row r="18" spans="2:4" x14ac:dyDescent="0.25">
      <c r="B18">
        <f t="shared" ca="1" si="0"/>
        <v>41</v>
      </c>
      <c r="C18">
        <f t="shared" ca="1" si="1"/>
        <v>2956</v>
      </c>
      <c r="D18">
        <f t="shared" ca="1" si="2"/>
        <v>1744.0400000000002</v>
      </c>
    </row>
    <row r="19" spans="2:4" x14ac:dyDescent="0.25">
      <c r="B19">
        <f t="shared" ca="1" si="0"/>
        <v>81</v>
      </c>
      <c r="C19">
        <f t="shared" ca="1" si="1"/>
        <v>2577</v>
      </c>
      <c r="D19">
        <f t="shared" ca="1" si="2"/>
        <v>489.62999999999988</v>
      </c>
    </row>
    <row r="20" spans="2:4" x14ac:dyDescent="0.25">
      <c r="B20">
        <f t="shared" ca="1" si="0"/>
        <v>27</v>
      </c>
      <c r="C20">
        <f t="shared" ca="1" si="1"/>
        <v>1913</v>
      </c>
      <c r="D20">
        <f t="shared" ca="1" si="2"/>
        <v>1396.49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B1B8078E17F4EAE45E3FCC6EE0F7F" ma:contentTypeVersion="15" ma:contentTypeDescription="Create a new document." ma:contentTypeScope="" ma:versionID="8dd0d06933d41ccec6da777e6e6c252d">
  <xsd:schema xmlns:xsd="http://www.w3.org/2001/XMLSchema" xmlns:xs="http://www.w3.org/2001/XMLSchema" xmlns:p="http://schemas.microsoft.com/office/2006/metadata/properties" xmlns:ns3="e78cd964-bcde-446a-be9b-a906f90c623a" xmlns:ns4="4608b1a4-6008-49c0-85d3-704a55b4f31d" targetNamespace="http://schemas.microsoft.com/office/2006/metadata/properties" ma:root="true" ma:fieldsID="b4209c0e8ef41e75b381318dfe647cd2" ns3:_="" ns4:_="">
    <xsd:import namespace="e78cd964-bcde-446a-be9b-a906f90c623a"/>
    <xsd:import namespace="4608b1a4-6008-49c0-85d3-704a55b4f3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cd964-bcde-446a-be9b-a906f90c6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8b1a4-6008-49c0-85d3-704a55b4f31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8cd964-bcde-446a-be9b-a906f90c623a" xsi:nil="true"/>
  </documentManagement>
</p:properties>
</file>

<file path=customXml/itemProps1.xml><?xml version="1.0" encoding="utf-8"?>
<ds:datastoreItem xmlns:ds="http://schemas.openxmlformats.org/officeDocument/2006/customXml" ds:itemID="{169BE19A-85FE-4196-8527-B5442ABB5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cd964-bcde-446a-be9b-a906f90c623a"/>
    <ds:schemaRef ds:uri="4608b1a4-6008-49c0-85d3-704a55b4f3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6BE825-C3BF-4438-9219-B086CAAC9D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9EEACF-2AD6-436D-AF04-888260A0A526}">
  <ds:schemaRefs>
    <ds:schemaRef ds:uri="e78cd964-bcde-446a-be9b-a906f90c623a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608b1a4-6008-49c0-85d3-704a55b4f31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VA</vt:lpstr>
      <vt:lpstr>VF</vt:lpstr>
      <vt:lpstr>TASA </vt:lpstr>
      <vt:lpstr>PAGO </vt:lpstr>
      <vt:lpstr>NPER</vt:lpstr>
      <vt:lpstr>Buscar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2023-06-13T00:38:58Z</dcterms:created>
  <dcterms:modified xsi:type="dcterms:W3CDTF">2023-06-20T13:36:10Z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0x010100C83B1B8078E17F4EAE45E3FCC6EE0F7F</vt:lpwstr>
  </property>
</Properties>
</file>