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Curso Libre Profesional I (Investigación Operativa)/"/>
    </mc:Choice>
  </mc:AlternateContent>
  <xr:revisionPtr revIDLastSave="2" documentId="11_145164629BCAD994BD4BC7B8C9FA1EA5C8E72120" xr6:coauthVersionLast="47" xr6:coauthVersionMax="47" xr10:uidLastSave="{D11DA160-888B-48CF-BCF1-4B0FE4F7C1AC}"/>
  <bookViews>
    <workbookView xWindow="-120" yWindow="-120" windowWidth="20730" windowHeight="11310" xr2:uid="{00000000-000D-0000-FFFF-FFFF00000000}"/>
  </bookViews>
  <sheets>
    <sheet name="EOQ Clásico" sheetId="1" r:id="rId1"/>
    <sheet name="Gráfico" sheetId="2" r:id="rId2"/>
    <sheet name="Datos de gráfic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9" i="1" l="1"/>
  <c r="D9" i="1" s="1"/>
  <c r="B10" i="1" l="1"/>
  <c r="B14" i="1"/>
  <c r="A7" i="3"/>
  <c r="B15" i="1"/>
  <c r="D15" i="1" s="1"/>
  <c r="D10" i="1" l="1"/>
  <c r="B11" i="1"/>
  <c r="C7" i="3"/>
  <c r="A8" i="3"/>
  <c r="A6" i="3"/>
  <c r="B7" i="3"/>
  <c r="D14" i="1"/>
  <c r="B13" i="1"/>
  <c r="D13" i="1" s="1"/>
  <c r="C6" i="3" l="1"/>
  <c r="A5" i="3"/>
  <c r="B6" i="3"/>
  <c r="C8" i="3"/>
  <c r="A9" i="3"/>
  <c r="B8" i="3"/>
  <c r="D7" i="3"/>
  <c r="B12" i="1"/>
  <c r="D12" i="1" s="1"/>
  <c r="D11" i="1"/>
  <c r="C9" i="3" l="1"/>
  <c r="A10" i="3"/>
  <c r="B9" i="3"/>
  <c r="D6" i="3"/>
  <c r="D8" i="3"/>
  <c r="B5" i="3"/>
  <c r="C5" i="3"/>
  <c r="A4" i="3"/>
  <c r="C4" i="3" l="1"/>
  <c r="A3" i="3"/>
  <c r="B4" i="3"/>
  <c r="D9" i="3"/>
  <c r="D5" i="3"/>
  <c r="B10" i="3"/>
  <c r="C10" i="3"/>
  <c r="A11" i="3"/>
  <c r="C11" i="3" l="1"/>
  <c r="B11" i="3"/>
  <c r="D4" i="3"/>
  <c r="D10" i="3"/>
  <c r="C3" i="3"/>
  <c r="B3" i="3"/>
  <c r="D3" i="3" l="1"/>
  <c r="D1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Coordinador Calidad</author>
  </authors>
  <commentList>
    <comment ref="A13" authorId="0" shapeId="0" xr:uid="{00000000-0006-0000-0000-000001000000}">
      <text>
        <r>
          <rPr>
            <sz val="9"/>
            <color indexed="81"/>
            <rFont val="Tahoma"/>
            <family val="2"/>
          </rPr>
          <t>Incluye el costo de adquisición del producto (Q*C)
Para no inclurlo, considera solo la suma del costo de ordenar y el costo de mantener</t>
        </r>
      </text>
    </comment>
  </commentList>
</comments>
</file>

<file path=xl/sharedStrings.xml><?xml version="1.0" encoding="utf-8"?>
<sst xmlns="http://schemas.openxmlformats.org/spreadsheetml/2006/main" count="36" uniqueCount="31">
  <si>
    <t>Item</t>
  </si>
  <si>
    <t>Datos</t>
  </si>
  <si>
    <t>Detalle</t>
  </si>
  <si>
    <t>Interpretación</t>
  </si>
  <si>
    <t>Demanda (D)</t>
  </si>
  <si>
    <t>anual</t>
  </si>
  <si>
    <t>Costo de ordenar (S)</t>
  </si>
  <si>
    <t>por orden</t>
  </si>
  <si>
    <t>Costo de mantener (H)</t>
  </si>
  <si>
    <t>anual por unidad</t>
  </si>
  <si>
    <t>Número de días de trabajo</t>
  </si>
  <si>
    <t>por año</t>
  </si>
  <si>
    <t>Costo ©</t>
  </si>
  <si>
    <t>por unidad</t>
  </si>
  <si>
    <t>Cantidad óptima de pedido Q*</t>
  </si>
  <si>
    <t>unidades</t>
  </si>
  <si>
    <t>Número esperado de ordenes (N)</t>
  </si>
  <si>
    <t>órdenes</t>
  </si>
  <si>
    <t>Tiempo esperado entre órdenes (L)</t>
  </si>
  <si>
    <t>días</t>
  </si>
  <si>
    <t>Punto de reorden ®</t>
  </si>
  <si>
    <t>Costo total (CT)</t>
  </si>
  <si>
    <t>Costo de ordenar</t>
  </si>
  <si>
    <t>anual total</t>
  </si>
  <si>
    <t>Costo de mantener</t>
  </si>
  <si>
    <t>Instrucciones</t>
  </si>
  <si>
    <t>Las celdas de color blanco son las que se pueden diligenciar. Las de color gris son de cálculo automático.</t>
  </si>
  <si>
    <t>Datos para gráfico de costos EOQ</t>
  </si>
  <si>
    <t>Tamaño de lote</t>
  </si>
  <si>
    <t>Costo total</t>
  </si>
  <si>
    <t>Plantilla Modelo cantidad económica de pedido (EOQ) - EOQ Model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</si>
</sst>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entury Gothic"/>
      <family val="2"/>
    </font>
    <font>
      <sz val="14"/>
      <color theme="1"/>
      <name val="Century Gothic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Tahoma"/>
      <family val="2"/>
    </font>
    <font>
      <b/>
      <sz val="18"/>
      <color theme="1"/>
      <name val="Gisha"/>
      <family val="2"/>
    </font>
    <font>
      <sz val="11"/>
      <color theme="1"/>
      <name val="Tahoma"/>
      <family val="2"/>
    </font>
    <font>
      <sz val="10"/>
      <color theme="1"/>
      <name val="Gish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4" borderId="4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4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wrapText="1"/>
    </xf>
    <xf numFmtId="0" fontId="8" fillId="2" borderId="0" xfId="0" applyFont="1" applyFill="1" applyBorder="1" applyAlignment="1">
      <alignment vertical="center" wrapText="1"/>
    </xf>
    <xf numFmtId="2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Gráfico de costos Modelo EOQ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'Datos de gráfico'!$B$2</c:f>
              <c:strCache>
                <c:ptCount val="1"/>
                <c:pt idx="0">
                  <c:v>Costo de ordenar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'Datos de gráfico'!$A$3:$A$11</c:f>
              <c:numCache>
                <c:formatCode>General</c:formatCode>
                <c:ptCount val="9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400</c:v>
                </c:pt>
                <c:pt idx="5">
                  <c:v>800</c:v>
                </c:pt>
                <c:pt idx="6">
                  <c:v>1600</c:v>
                </c:pt>
                <c:pt idx="7">
                  <c:v>3200</c:v>
                </c:pt>
                <c:pt idx="8">
                  <c:v>6400</c:v>
                </c:pt>
              </c:numCache>
            </c:numRef>
          </c:cat>
          <c:val>
            <c:numRef>
              <c:f>'Datos de gráfico'!$B$3:$B$10</c:f>
              <c:numCache>
                <c:formatCode>General</c:formatCode>
                <c:ptCount val="8"/>
                <c:pt idx="0">
                  <c:v>960</c:v>
                </c:pt>
                <c:pt idx="1">
                  <c:v>480</c:v>
                </c:pt>
                <c:pt idx="2">
                  <c:v>240</c:v>
                </c:pt>
                <c:pt idx="3">
                  <c:v>120</c:v>
                </c:pt>
                <c:pt idx="4">
                  <c:v>60</c:v>
                </c:pt>
                <c:pt idx="5">
                  <c:v>30</c:v>
                </c:pt>
                <c:pt idx="6">
                  <c:v>15</c:v>
                </c:pt>
                <c:pt idx="7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3A-4A13-96BE-D86C3F1AA945}"/>
            </c:ext>
          </c:extLst>
        </c:ser>
        <c:ser>
          <c:idx val="1"/>
          <c:order val="1"/>
          <c:tx>
            <c:strRef>
              <c:f>'Datos de gráfico'!$C$2</c:f>
              <c:strCache>
                <c:ptCount val="1"/>
                <c:pt idx="0">
                  <c:v>Costo de mantener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'Datos de gráfico'!$A$3:$A$11</c:f>
              <c:numCache>
                <c:formatCode>General</c:formatCode>
                <c:ptCount val="9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400</c:v>
                </c:pt>
                <c:pt idx="5">
                  <c:v>800</c:v>
                </c:pt>
                <c:pt idx="6">
                  <c:v>1600</c:v>
                </c:pt>
                <c:pt idx="7">
                  <c:v>3200</c:v>
                </c:pt>
                <c:pt idx="8">
                  <c:v>6400</c:v>
                </c:pt>
              </c:numCache>
            </c:numRef>
          </c:cat>
          <c:val>
            <c:numRef>
              <c:f>'Datos de gráfico'!$C$3:$C$11</c:f>
              <c:numCache>
                <c:formatCode>General</c:formatCode>
                <c:ptCount val="9"/>
                <c:pt idx="0">
                  <c:v>3.75</c:v>
                </c:pt>
                <c:pt idx="1">
                  <c:v>7.5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120</c:v>
                </c:pt>
                <c:pt idx="6">
                  <c:v>240</c:v>
                </c:pt>
                <c:pt idx="7">
                  <c:v>480</c:v>
                </c:pt>
                <c:pt idx="8">
                  <c:v>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3A-4A13-96BE-D86C3F1AA945}"/>
            </c:ext>
          </c:extLst>
        </c:ser>
        <c:ser>
          <c:idx val="2"/>
          <c:order val="2"/>
          <c:tx>
            <c:strRef>
              <c:f>'Datos de gráfico'!$D$2</c:f>
              <c:strCache>
                <c:ptCount val="1"/>
                <c:pt idx="0">
                  <c:v>Costo total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3A-4A13-96BE-D86C3F1AA9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'Datos de gráfico'!$A$3:$A$11</c:f>
              <c:numCache>
                <c:formatCode>General</c:formatCode>
                <c:ptCount val="9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400</c:v>
                </c:pt>
                <c:pt idx="5">
                  <c:v>800</c:v>
                </c:pt>
                <c:pt idx="6">
                  <c:v>1600</c:v>
                </c:pt>
                <c:pt idx="7">
                  <c:v>3200</c:v>
                </c:pt>
                <c:pt idx="8">
                  <c:v>6400</c:v>
                </c:pt>
              </c:numCache>
            </c:numRef>
          </c:cat>
          <c:val>
            <c:numRef>
              <c:f>'Datos de gráfico'!$D$3:$D$11</c:f>
              <c:numCache>
                <c:formatCode>General</c:formatCode>
                <c:ptCount val="9"/>
                <c:pt idx="0">
                  <c:v>963.75</c:v>
                </c:pt>
                <c:pt idx="1">
                  <c:v>487.5</c:v>
                </c:pt>
                <c:pt idx="2">
                  <c:v>255</c:v>
                </c:pt>
                <c:pt idx="3">
                  <c:v>150</c:v>
                </c:pt>
                <c:pt idx="4">
                  <c:v>120</c:v>
                </c:pt>
                <c:pt idx="5">
                  <c:v>150</c:v>
                </c:pt>
                <c:pt idx="6">
                  <c:v>255</c:v>
                </c:pt>
                <c:pt idx="7">
                  <c:v>487.5</c:v>
                </c:pt>
                <c:pt idx="8">
                  <c:v>963.75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3A-4A13-96BE-D86C3F1AA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90418408"/>
        <c:axId val="290405616"/>
      </c:lineChart>
      <c:catAx>
        <c:axId val="290418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Cantidad a ordenar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290405616"/>
        <c:crosses val="autoZero"/>
        <c:auto val="1"/>
        <c:lblAlgn val="ctr"/>
        <c:lblOffset val="100"/>
        <c:noMultiLvlLbl val="0"/>
      </c:catAx>
      <c:valAx>
        <c:axId val="2904056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Costo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29041840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800" b="1"/>
              <a:t>Gráfica</a:t>
            </a:r>
            <a:r>
              <a:rPr lang="es-CO" sz="1800" b="1" baseline="0"/>
              <a:t> de costos EOQ</a:t>
            </a:r>
            <a:endParaRPr lang="es-CO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'Datos de gráfico'!$B$2</c:f>
              <c:strCache>
                <c:ptCount val="1"/>
                <c:pt idx="0">
                  <c:v>Costo de ordenar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'Datos de gráfico'!$A$3:$A$11</c:f>
              <c:numCache>
                <c:formatCode>General</c:formatCode>
                <c:ptCount val="9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400</c:v>
                </c:pt>
                <c:pt idx="5">
                  <c:v>800</c:v>
                </c:pt>
                <c:pt idx="6">
                  <c:v>1600</c:v>
                </c:pt>
                <c:pt idx="7">
                  <c:v>3200</c:v>
                </c:pt>
                <c:pt idx="8">
                  <c:v>6400</c:v>
                </c:pt>
              </c:numCache>
            </c:numRef>
          </c:cat>
          <c:val>
            <c:numRef>
              <c:f>'Datos de gráfico'!$B$3:$B$11</c:f>
              <c:numCache>
                <c:formatCode>General</c:formatCode>
                <c:ptCount val="9"/>
                <c:pt idx="0">
                  <c:v>960</c:v>
                </c:pt>
                <c:pt idx="1">
                  <c:v>480</c:v>
                </c:pt>
                <c:pt idx="2">
                  <c:v>240</c:v>
                </c:pt>
                <c:pt idx="3">
                  <c:v>120</c:v>
                </c:pt>
                <c:pt idx="4">
                  <c:v>60</c:v>
                </c:pt>
                <c:pt idx="5">
                  <c:v>30</c:v>
                </c:pt>
                <c:pt idx="6">
                  <c:v>15</c:v>
                </c:pt>
                <c:pt idx="7">
                  <c:v>7.5</c:v>
                </c:pt>
                <c:pt idx="8">
                  <c:v>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7E-424B-B0BD-E8BE947EB56F}"/>
            </c:ext>
          </c:extLst>
        </c:ser>
        <c:ser>
          <c:idx val="1"/>
          <c:order val="1"/>
          <c:tx>
            <c:strRef>
              <c:f>'Datos de gráfico'!$C$2</c:f>
              <c:strCache>
                <c:ptCount val="1"/>
                <c:pt idx="0">
                  <c:v>Costo de mantener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'Datos de gráfico'!$A$3:$A$11</c:f>
              <c:numCache>
                <c:formatCode>General</c:formatCode>
                <c:ptCount val="9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400</c:v>
                </c:pt>
                <c:pt idx="5">
                  <c:v>800</c:v>
                </c:pt>
                <c:pt idx="6">
                  <c:v>1600</c:v>
                </c:pt>
                <c:pt idx="7">
                  <c:v>3200</c:v>
                </c:pt>
                <c:pt idx="8">
                  <c:v>6400</c:v>
                </c:pt>
              </c:numCache>
            </c:numRef>
          </c:cat>
          <c:val>
            <c:numRef>
              <c:f>'Datos de gráfico'!$C$3:$C$11</c:f>
              <c:numCache>
                <c:formatCode>General</c:formatCode>
                <c:ptCount val="9"/>
                <c:pt idx="0">
                  <c:v>3.75</c:v>
                </c:pt>
                <c:pt idx="1">
                  <c:v>7.5</c:v>
                </c:pt>
                <c:pt idx="2">
                  <c:v>15</c:v>
                </c:pt>
                <c:pt idx="3">
                  <c:v>30</c:v>
                </c:pt>
                <c:pt idx="4">
                  <c:v>60</c:v>
                </c:pt>
                <c:pt idx="5">
                  <c:v>120</c:v>
                </c:pt>
                <c:pt idx="6">
                  <c:v>240</c:v>
                </c:pt>
                <c:pt idx="7">
                  <c:v>480</c:v>
                </c:pt>
                <c:pt idx="8">
                  <c:v>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7E-424B-B0BD-E8BE947EB56F}"/>
            </c:ext>
          </c:extLst>
        </c:ser>
        <c:ser>
          <c:idx val="2"/>
          <c:order val="2"/>
          <c:tx>
            <c:strRef>
              <c:f>'Datos de gráfico'!$D$2</c:f>
              <c:strCache>
                <c:ptCount val="1"/>
                <c:pt idx="0">
                  <c:v>Costo 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7E-424B-B0BD-E8BE947EB5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'Datos de gráfico'!$A$3:$A$11</c:f>
              <c:numCache>
                <c:formatCode>General</c:formatCode>
                <c:ptCount val="9"/>
                <c:pt idx="0">
                  <c:v>25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400</c:v>
                </c:pt>
                <c:pt idx="5">
                  <c:v>800</c:v>
                </c:pt>
                <c:pt idx="6">
                  <c:v>1600</c:v>
                </c:pt>
                <c:pt idx="7">
                  <c:v>3200</c:v>
                </c:pt>
                <c:pt idx="8">
                  <c:v>6400</c:v>
                </c:pt>
              </c:numCache>
            </c:numRef>
          </c:cat>
          <c:val>
            <c:numRef>
              <c:f>'Datos de gráfico'!$D$3:$D$11</c:f>
              <c:numCache>
                <c:formatCode>General</c:formatCode>
                <c:ptCount val="9"/>
                <c:pt idx="0">
                  <c:v>963.75</c:v>
                </c:pt>
                <c:pt idx="1">
                  <c:v>487.5</c:v>
                </c:pt>
                <c:pt idx="2">
                  <c:v>255</c:v>
                </c:pt>
                <c:pt idx="3">
                  <c:v>150</c:v>
                </c:pt>
                <c:pt idx="4">
                  <c:v>120</c:v>
                </c:pt>
                <c:pt idx="5">
                  <c:v>150</c:v>
                </c:pt>
                <c:pt idx="6">
                  <c:v>255</c:v>
                </c:pt>
                <c:pt idx="7">
                  <c:v>487.5</c:v>
                </c:pt>
                <c:pt idx="8">
                  <c:v>963.75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7E-424B-B0BD-E8BE947EB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2374384"/>
        <c:axId val="382372744"/>
      </c:lineChart>
      <c:catAx>
        <c:axId val="382374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Cantidad a ordenar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382372744"/>
        <c:crosses val="autoZero"/>
        <c:auto val="1"/>
        <c:lblAlgn val="ctr"/>
        <c:lblOffset val="100"/>
        <c:noMultiLvlLbl val="0"/>
      </c:catAx>
      <c:valAx>
        <c:axId val="382372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Costos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N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NI"/>
          </a:p>
        </c:txPr>
        <c:crossAx val="38237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NI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NI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7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23393</xdr:colOff>
      <xdr:row>1</xdr:row>
      <xdr:rowOff>229792</xdr:rowOff>
    </xdr:from>
    <xdr:to>
      <xdr:col>8</xdr:col>
      <xdr:colOff>737811</xdr:colOff>
      <xdr:row>14</xdr:row>
      <xdr:rowOff>179916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3311" cy="607540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showGridLines="0" tabSelected="1" zoomScaleNormal="100" workbookViewId="0">
      <selection activeCell="J6" sqref="J6"/>
    </sheetView>
  </sheetViews>
  <sheetFormatPr baseColWidth="10" defaultRowHeight="15" x14ac:dyDescent="0.25"/>
  <cols>
    <col min="1" max="1" width="43.5703125" customWidth="1"/>
    <col min="2" max="2" width="14.42578125" bestFit="1" customWidth="1"/>
    <col min="3" max="3" width="22.5703125" bestFit="1" customWidth="1"/>
    <col min="4" max="4" width="81.7109375" bestFit="1" customWidth="1"/>
    <col min="6" max="6" width="13.7109375" style="5" bestFit="1" customWidth="1"/>
  </cols>
  <sheetData>
    <row r="1" spans="1:9" ht="36.75" customHeight="1" x14ac:dyDescent="0.25">
      <c r="A1" s="20" t="s">
        <v>30</v>
      </c>
      <c r="B1" s="21"/>
      <c r="C1" s="21"/>
      <c r="D1" s="21"/>
      <c r="E1" s="21"/>
      <c r="F1" s="21"/>
      <c r="G1" s="22"/>
      <c r="H1" s="23"/>
      <c r="I1" s="24"/>
    </row>
    <row r="2" spans="1:9" ht="18" x14ac:dyDescent="0.25">
      <c r="A2" s="1"/>
      <c r="B2" s="1"/>
      <c r="C2" s="1"/>
      <c r="D2" s="1"/>
      <c r="E2" s="1"/>
      <c r="F2" s="1"/>
      <c r="G2" s="1"/>
      <c r="H2" s="2"/>
      <c r="I2" s="2"/>
    </row>
    <row r="3" spans="1:9" x14ac:dyDescent="0.25">
      <c r="A3" s="3" t="s">
        <v>0</v>
      </c>
      <c r="B3" s="3" t="s">
        <v>1</v>
      </c>
      <c r="C3" s="3" t="s">
        <v>2</v>
      </c>
      <c r="D3" s="4" t="s">
        <v>3</v>
      </c>
    </row>
    <row r="4" spans="1:9" s="9" customFormat="1" x14ac:dyDescent="0.25">
      <c r="A4" s="6" t="s">
        <v>4</v>
      </c>
      <c r="B4" s="7">
        <v>1200</v>
      </c>
      <c r="C4" s="6" t="s">
        <v>5</v>
      </c>
      <c r="D4" s="8"/>
    </row>
    <row r="5" spans="1:9" s="9" customFormat="1" x14ac:dyDescent="0.25">
      <c r="A5" s="10" t="s">
        <v>6</v>
      </c>
      <c r="B5" s="7">
        <v>20</v>
      </c>
      <c r="C5" s="6" t="s">
        <v>7</v>
      </c>
      <c r="D5" s="8"/>
    </row>
    <row r="6" spans="1:9" s="9" customFormat="1" x14ac:dyDescent="0.25">
      <c r="A6" s="10" t="s">
        <v>8</v>
      </c>
      <c r="B6" s="7">
        <v>0.3</v>
      </c>
      <c r="C6" s="6" t="s">
        <v>9</v>
      </c>
      <c r="D6" s="8"/>
    </row>
    <row r="7" spans="1:9" s="9" customFormat="1" x14ac:dyDescent="0.25">
      <c r="A7" s="10" t="s">
        <v>10</v>
      </c>
      <c r="B7" s="7">
        <v>240</v>
      </c>
      <c r="C7" s="6" t="s">
        <v>11</v>
      </c>
      <c r="D7" s="8"/>
    </row>
    <row r="8" spans="1:9" s="9" customFormat="1" x14ac:dyDescent="0.25">
      <c r="A8" s="10" t="s">
        <v>12</v>
      </c>
      <c r="B8" s="7">
        <v>20</v>
      </c>
      <c r="C8" s="6" t="s">
        <v>13</v>
      </c>
      <c r="D8" s="8"/>
    </row>
    <row r="9" spans="1:9" x14ac:dyDescent="0.25">
      <c r="A9" s="11" t="s">
        <v>14</v>
      </c>
      <c r="B9" s="12">
        <f>SQRT((2*B4*B5/B6))</f>
        <v>400</v>
      </c>
      <c r="C9" s="6" t="s">
        <v>15</v>
      </c>
      <c r="D9" s="6" t="str">
        <f>"Se deben pedir "&amp;ROUND(B9,2)&amp;" unidades por orden"</f>
        <v>Se deben pedir 400 unidades por orden</v>
      </c>
    </row>
    <row r="10" spans="1:9" x14ac:dyDescent="0.25">
      <c r="A10" s="11" t="s">
        <v>16</v>
      </c>
      <c r="B10" s="13">
        <f>B4/B9</f>
        <v>3</v>
      </c>
      <c r="C10" s="6" t="s">
        <v>17</v>
      </c>
      <c r="D10" s="6" t="str">
        <f>"Se realizan "&amp;ROUND(B10,2)&amp;" órdenes de pedido al año"</f>
        <v>Se realizan 3 órdenes de pedido al año</v>
      </c>
    </row>
    <row r="11" spans="1:9" x14ac:dyDescent="0.25">
      <c r="A11" s="11" t="s">
        <v>18</v>
      </c>
      <c r="B11" s="13">
        <f>B7/B10</f>
        <v>80</v>
      </c>
      <c r="C11" s="6" t="s">
        <v>19</v>
      </c>
      <c r="D11" s="6" t="str">
        <f>"El tiempo entre órdenes es de "&amp;ROUND(B11,2)&amp;" días"</f>
        <v>El tiempo entre órdenes es de 80 días</v>
      </c>
    </row>
    <row r="12" spans="1:9" x14ac:dyDescent="0.25">
      <c r="A12" s="11" t="s">
        <v>20</v>
      </c>
      <c r="B12" s="13">
        <f>(B4/B7)*B11</f>
        <v>400</v>
      </c>
      <c r="C12" s="6" t="s">
        <v>15</v>
      </c>
      <c r="D12" s="6" t="str">
        <f>"Cuando el nivel de inventario esté en "&amp;ROUND(B12,2)&amp;" unidades, se debe colocar una nueva orden"</f>
        <v>Cuando el nivel de inventario esté en 400 unidades, se debe colocar una nueva orden</v>
      </c>
    </row>
    <row r="13" spans="1:9" x14ac:dyDescent="0.25">
      <c r="A13" s="14" t="s">
        <v>21</v>
      </c>
      <c r="B13" s="13">
        <f>B14+B15+(B8*B4)</f>
        <v>24120</v>
      </c>
      <c r="C13" s="14" t="s">
        <v>5</v>
      </c>
      <c r="D13" s="6" t="str">
        <f>"El costo total anual de inventario es de $"&amp;ROUND(B13,2)</f>
        <v>El costo total anual de inventario es de $24120</v>
      </c>
    </row>
    <row r="14" spans="1:9" x14ac:dyDescent="0.25">
      <c r="A14" s="11" t="s">
        <v>22</v>
      </c>
      <c r="B14" s="13">
        <f>(B4/B9)*B5</f>
        <v>60</v>
      </c>
      <c r="C14" s="14" t="s">
        <v>23</v>
      </c>
      <c r="D14" s="6" t="str">
        <f>"El costo anual de ordenar es de $"&amp;ROUND(B14,2)</f>
        <v>El costo anual de ordenar es de $60</v>
      </c>
    </row>
    <row r="15" spans="1:9" x14ac:dyDescent="0.25">
      <c r="A15" s="11" t="s">
        <v>24</v>
      </c>
      <c r="B15" s="13">
        <f>(B9/2)*B6</f>
        <v>60</v>
      </c>
      <c r="C15" s="14" t="s">
        <v>23</v>
      </c>
      <c r="D15" s="6" t="str">
        <f>"El costo anual de mantener es de $"&amp;ROUND(B15,2)</f>
        <v>El costo anual de mantener es de $60</v>
      </c>
    </row>
    <row r="17" spans="1:18" ht="23.25" x14ac:dyDescent="0.25">
      <c r="A17" s="15" t="s">
        <v>25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7"/>
      <c r="R17" s="17"/>
    </row>
    <row r="18" spans="1:18" x14ac:dyDescent="0.25">
      <c r="A18" s="25" t="s">
        <v>26</v>
      </c>
      <c r="B18" s="25"/>
      <c r="C18" s="25"/>
      <c r="D18" s="25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</sheetData>
  <mergeCells count="3">
    <mergeCell ref="A1:G1"/>
    <mergeCell ref="H1:I1"/>
    <mergeCell ref="A18:D18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selection activeCell="A3" sqref="A3"/>
    </sheetView>
  </sheetViews>
  <sheetFormatPr baseColWidth="10" defaultRowHeight="15" x14ac:dyDescent="0.25"/>
  <cols>
    <col min="1" max="4" width="19.42578125" customWidth="1"/>
    <col min="6" max="6" width="19.42578125" customWidth="1"/>
  </cols>
  <sheetData>
    <row r="1" spans="1:6" ht="15" customHeight="1" x14ac:dyDescent="0.25">
      <c r="A1" s="26" t="s">
        <v>27</v>
      </c>
      <c r="B1" s="27"/>
      <c r="C1" s="27"/>
      <c r="D1" s="28"/>
      <c r="F1" s="19"/>
    </row>
    <row r="2" spans="1:6" x14ac:dyDescent="0.25">
      <c r="A2" s="11" t="s">
        <v>28</v>
      </c>
      <c r="B2" s="11" t="s">
        <v>22</v>
      </c>
      <c r="C2" s="11" t="s">
        <v>24</v>
      </c>
      <c r="D2" s="11" t="s">
        <v>29</v>
      </c>
      <c r="F2" s="19"/>
    </row>
    <row r="3" spans="1:6" x14ac:dyDescent="0.25">
      <c r="A3" s="11">
        <f>A4/2</f>
        <v>25</v>
      </c>
      <c r="B3" s="11">
        <f>('EOQ Clásico'!$B$4/A3)*'EOQ Clásico'!$B$5</f>
        <v>960</v>
      </c>
      <c r="C3" s="11">
        <f>(A3/2)*'EOQ Clásico'!$B$6</f>
        <v>3.75</v>
      </c>
      <c r="D3" s="11">
        <f t="shared" ref="D3:D11" si="0">B3+C3</f>
        <v>963.75</v>
      </c>
      <c r="F3" s="19"/>
    </row>
    <row r="4" spans="1:6" x14ac:dyDescent="0.25">
      <c r="A4" s="11">
        <f>A5/2</f>
        <v>50</v>
      </c>
      <c r="B4" s="11">
        <f>('EOQ Clásico'!$B$4/A4)*'EOQ Clásico'!$B$5</f>
        <v>480</v>
      </c>
      <c r="C4" s="11">
        <f>(A4/2)*'EOQ Clásico'!$B$6</f>
        <v>7.5</v>
      </c>
      <c r="D4" s="11">
        <f t="shared" si="0"/>
        <v>487.5</v>
      </c>
      <c r="F4" s="19"/>
    </row>
    <row r="5" spans="1:6" x14ac:dyDescent="0.25">
      <c r="A5" s="11">
        <f>A6/2</f>
        <v>100</v>
      </c>
      <c r="B5" s="11">
        <f>('EOQ Clásico'!$B$4/A5)*'EOQ Clásico'!$B$5</f>
        <v>240</v>
      </c>
      <c r="C5" s="11">
        <f>(A5/2)*'EOQ Clásico'!$B$6</f>
        <v>15</v>
      </c>
      <c r="D5" s="11">
        <f t="shared" si="0"/>
        <v>255</v>
      </c>
      <c r="F5" s="19"/>
    </row>
    <row r="6" spans="1:6" x14ac:dyDescent="0.25">
      <c r="A6" s="11">
        <f>A7/2</f>
        <v>200</v>
      </c>
      <c r="B6" s="11">
        <f>('EOQ Clásico'!$B$4/A6)*'EOQ Clásico'!$B$5</f>
        <v>120</v>
      </c>
      <c r="C6" s="11">
        <f>(A6/2)*'EOQ Clásico'!$B$6</f>
        <v>30</v>
      </c>
      <c r="D6" s="11">
        <f t="shared" si="0"/>
        <v>150</v>
      </c>
      <c r="F6" s="19"/>
    </row>
    <row r="7" spans="1:6" x14ac:dyDescent="0.25">
      <c r="A7" s="11">
        <f>'EOQ Clásico'!$B$9</f>
        <v>400</v>
      </c>
      <c r="B7" s="11">
        <f>('EOQ Clásico'!$B$4/A7)*'EOQ Clásico'!$B$5</f>
        <v>60</v>
      </c>
      <c r="C7" s="11">
        <f>(A7/2)*'EOQ Clásico'!$B$6</f>
        <v>60</v>
      </c>
      <c r="D7" s="11">
        <f t="shared" si="0"/>
        <v>120</v>
      </c>
      <c r="F7" s="19"/>
    </row>
    <row r="8" spans="1:6" x14ac:dyDescent="0.25">
      <c r="A8" s="11">
        <f>A7*2</f>
        <v>800</v>
      </c>
      <c r="B8" s="11">
        <f>('EOQ Clásico'!$B$4/A8)*'EOQ Clásico'!$B$5</f>
        <v>30</v>
      </c>
      <c r="C8" s="11">
        <f>(A8/2)*'EOQ Clásico'!$B$6</f>
        <v>120</v>
      </c>
      <c r="D8" s="11">
        <f t="shared" si="0"/>
        <v>150</v>
      </c>
      <c r="F8" s="19"/>
    </row>
    <row r="9" spans="1:6" x14ac:dyDescent="0.25">
      <c r="A9" s="11">
        <f>A8*2</f>
        <v>1600</v>
      </c>
      <c r="B9" s="11">
        <f>('EOQ Clásico'!$B$4/A9)*'EOQ Clásico'!$B$5</f>
        <v>15</v>
      </c>
      <c r="C9" s="11">
        <f>(A9/2)*'EOQ Clásico'!$B$6</f>
        <v>240</v>
      </c>
      <c r="D9" s="11">
        <f t="shared" si="0"/>
        <v>255</v>
      </c>
      <c r="F9" s="19"/>
    </row>
    <row r="10" spans="1:6" x14ac:dyDescent="0.25">
      <c r="A10" s="11">
        <f>A9*2</f>
        <v>3200</v>
      </c>
      <c r="B10" s="11">
        <f>('EOQ Clásico'!$B$4/A10)*'EOQ Clásico'!$B$5</f>
        <v>7.5</v>
      </c>
      <c r="C10" s="11">
        <f>(A10/2)*'EOQ Clásico'!$B$6</f>
        <v>480</v>
      </c>
      <c r="D10" s="11">
        <f t="shared" si="0"/>
        <v>487.5</v>
      </c>
      <c r="F10" s="19"/>
    </row>
    <row r="11" spans="1:6" x14ac:dyDescent="0.25">
      <c r="A11" s="11">
        <f>A10*2</f>
        <v>6400</v>
      </c>
      <c r="B11" s="11">
        <f>('EOQ Clásico'!$B$4/A11)*'EOQ Clásico'!$B$5</f>
        <v>3.75</v>
      </c>
      <c r="C11" s="11">
        <f>(A11/2)*'EOQ Clásico'!$B$6</f>
        <v>960</v>
      </c>
      <c r="D11" s="11">
        <f t="shared" si="0"/>
        <v>963.75</v>
      </c>
      <c r="F11" s="19"/>
    </row>
    <row r="12" spans="1:6" x14ac:dyDescent="0.25">
      <c r="F12" s="19"/>
    </row>
    <row r="13" spans="1:6" x14ac:dyDescent="0.25">
      <c r="F13" s="19"/>
    </row>
    <row r="14" spans="1:6" x14ac:dyDescent="0.25">
      <c r="F14" s="19"/>
    </row>
    <row r="15" spans="1:6" x14ac:dyDescent="0.25">
      <c r="F15" s="19"/>
    </row>
    <row r="16" spans="1:6" x14ac:dyDescent="0.25">
      <c r="F16" s="19"/>
    </row>
    <row r="17" spans="6:6" x14ac:dyDescent="0.25">
      <c r="F17" s="19"/>
    </row>
    <row r="18" spans="6:6" x14ac:dyDescent="0.25">
      <c r="F18" s="19"/>
    </row>
    <row r="19" spans="6:6" x14ac:dyDescent="0.25">
      <c r="F19" s="19"/>
    </row>
    <row r="20" spans="6:6" x14ac:dyDescent="0.25">
      <c r="F20" s="19"/>
    </row>
    <row r="21" spans="6:6" x14ac:dyDescent="0.25">
      <c r="F21" s="19"/>
    </row>
    <row r="22" spans="6:6" x14ac:dyDescent="0.25">
      <c r="F22" s="19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Gráficos</vt:lpstr>
      </vt:variant>
      <vt:variant>
        <vt:i4>1</vt:i4>
      </vt:variant>
    </vt:vector>
  </HeadingPairs>
  <TitlesOfParts>
    <vt:vector size="3" baseType="lpstr">
      <vt:lpstr>EOQ Clásico</vt:lpstr>
      <vt:lpstr>Datos de gráfico</vt:lpstr>
      <vt:lpstr>Gráfico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Modelo EOQ Plantilla en excel</dc:title>
  <dc:creator>Ingenio Empresa</dc:creator>
  <cp:keywords>EOQ, inventario</cp:keywords>
  <cp:lastModifiedBy>Guillermo Aguirre</cp:lastModifiedBy>
  <dcterms:created xsi:type="dcterms:W3CDTF">2017-10-18T13:57:39Z</dcterms:created>
  <dcterms:modified xsi:type="dcterms:W3CDTF">2022-06-04T02:52:02Z</dcterms:modified>
</cp:coreProperties>
</file>