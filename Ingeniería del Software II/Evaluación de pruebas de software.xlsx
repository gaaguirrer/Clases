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https://upoliedu-my.sharepoint.com/personal/gaguirre29_docente_unp_edu_ni/Documents/Clases/Materias/Ingeniería del Software II/"/>
    </mc:Choice>
  </mc:AlternateContent>
  <xr:revisionPtr revIDLastSave="199" documentId="8_{557504E9-A058-44A8-A454-4FC8A398158D}" xr6:coauthVersionLast="47" xr6:coauthVersionMax="47" xr10:uidLastSave="{E5745977-D086-4674-A543-F7C238C6E7AE}"/>
  <bookViews>
    <workbookView xWindow="-108" yWindow="-108" windowWidth="23256" windowHeight="12456" activeTab="3" xr2:uid="{4738E6F2-5AE5-41D5-824C-5C233EB9D8F2}"/>
  </bookViews>
  <sheets>
    <sheet name="Funcionalidad" sheetId="1" r:id="rId1"/>
    <sheet name="Interfaz" sheetId="2" r:id="rId2"/>
    <sheet name="Cuestionario" sheetId="9" r:id="rId3"/>
    <sheet name="Nota" sheetId="10" r:id="rId4"/>
    <sheet name="Integración" sheetId="3" r:id="rId5"/>
    <sheet name="Rendimiento" sheetId="4" r:id="rId6"/>
    <sheet name="Seguridad" sheetId="5" r:id="rId7"/>
    <sheet name="Regresión" sheetId="6" r:id="rId8"/>
    <sheet name="Mantenimiento y actualización" sheetId="7"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1" l="1"/>
  <c r="D4" i="10" s="1"/>
  <c r="D9" i="1"/>
  <c r="D18" i="2"/>
  <c r="D10" i="2"/>
  <c r="D6" i="2"/>
  <c r="D5" i="10" l="1"/>
  <c r="D6" i="10"/>
  <c r="D9" i="10"/>
  <c r="D3" i="10"/>
  <c r="D14" i="2" l="1"/>
  <c r="D14" i="10" l="1"/>
  <c r="D18" i="10"/>
  <c r="D7" i="10"/>
  <c r="D11" i="10"/>
  <c r="D21" i="1" l="1"/>
  <c r="D12" i="10" l="1"/>
  <c r="D17" i="10"/>
  <c r="D15" i="10"/>
  <c r="D27" i="1" l="1"/>
  <c r="D8" i="10" s="1"/>
  <c r="D10" i="10" l="1"/>
  <c r="D13" i="10"/>
  <c r="D16" i="10"/>
</calcChain>
</file>

<file path=xl/sharedStrings.xml><?xml version="1.0" encoding="utf-8"?>
<sst xmlns="http://schemas.openxmlformats.org/spreadsheetml/2006/main" count="98" uniqueCount="61">
  <si>
    <t>Read</t>
  </si>
  <si>
    <t>Update</t>
  </si>
  <si>
    <t>Delete</t>
  </si>
  <si>
    <t>Producto</t>
  </si>
  <si>
    <t>Validaciones</t>
  </si>
  <si>
    <t>Navegabilidad</t>
  </si>
  <si>
    <t>Secuencia  de trabajo</t>
  </si>
  <si>
    <t>Pruebas / item</t>
  </si>
  <si>
    <t>Pruebas / Item</t>
  </si>
  <si>
    <t>Arquitectura</t>
  </si>
  <si>
    <t>Bases de Datos</t>
  </si>
  <si>
    <t>Programación</t>
  </si>
  <si>
    <t>¿Podría describir la arquitectura de desarrollo que se está empleando?</t>
  </si>
  <si>
    <t>SCRUM</t>
  </si>
  <si>
    <t>¿En qué capas se dividieron las clases y por qué se hizo tal división?</t>
  </si>
  <si>
    <t>¿Cuáles son las ventajas de aplicar el modelo elegido?</t>
  </si>
  <si>
    <t>¿Cuáles son las desventajas de aplicar este modelo?</t>
  </si>
  <si>
    <t>¿Podría explicar cómo se construyó la capa XXXXX?</t>
  </si>
  <si>
    <t>¿Podría describir el modelo de base de datos que se está empleando para la aplicación?</t>
  </si>
  <si>
    <t>¿Qué tipo de relaciones entre tablas existen en la base de datos y cómo se implementaron?</t>
  </si>
  <si>
    <t>¿Qué problemas se podrían presentar si la base de datos no estuviera correctamente normalizada?</t>
  </si>
  <si>
    <t>¿Cómo se diseñaron las consultas para optimizar el rendimiento de la aplicación?</t>
  </si>
  <si>
    <t>¿Qué mecanismos se implementaron para evitar problemas de concurrencia o pérdida de datos?</t>
  </si>
  <si>
    <t>¿Qué estrategia se utiliza para hacer copias de seguridad de la base de datos?</t>
  </si>
  <si>
    <t>¿Cómo se podría escalar la base de datos si la cantidad de datos crece significativamente?</t>
  </si>
  <si>
    <t>¿Qué tecnologías o frameworks se están utilizando en la capa de presentación?</t>
  </si>
  <si>
    <t>¿Qué responsabilidades tiene la capa de XXXXX en esta arquitectura?</t>
  </si>
  <si>
    <t>¿Qué métodos o funciones se utilizaron para validar los campos obligatorios en un formulario de facturación (por ejemplo, nombres de clientes, montos de facturas)?</t>
  </si>
  <si>
    <t>¿Qué estrategias de validación se utilizaron para asegurar que los valores ingresados en el sistema cumplan con los límites de facturación, descuentos u otras restricciones comerciales?</t>
  </si>
  <si>
    <t>¿De qué manera se implementó el manejo de errores en la interfaz (como la validación de campos vacíos o con formatos incorrectos)?</t>
  </si>
  <si>
    <t>¿Cómo se programó la lógica que gestiona las transacciones, como la venta de productos y la actualización del inventario?</t>
  </si>
  <si>
    <t>¿Qué procedimientos almacenados o funciones de base de datos se crearon para optimizar el acceso a la información de productos, clientes y facturas?</t>
  </si>
  <si>
    <t>¿De qué manera se maneja el evento de "guardar" una nueva factura, y cómo se aseguran las validaciones antes de completar la operación?</t>
  </si>
  <si>
    <t>¿Cómo se programó el manejo de errores en el sistema para que el usuario reciba retroalimentación cuando ocurre un problema (como problemas de conexión a la base de datos)?</t>
  </si>
  <si>
    <t>Diseño</t>
  </si>
  <si>
    <t>Create</t>
  </si>
  <si>
    <t>Total</t>
  </si>
  <si>
    <t>Acevedo Bonilla Jareth Said</t>
  </si>
  <si>
    <t>Bermudez Blandón Carlos Roberto</t>
  </si>
  <si>
    <t>Castro Velázquez Ashly Deney</t>
  </si>
  <si>
    <t>Cerda Ugarte Elsa Lineth</t>
  </si>
  <si>
    <t>Cruz Rodríguez Alejandro Mauricio</t>
  </si>
  <si>
    <t>Cuadra Navarro Harvey José</t>
  </si>
  <si>
    <t>Guido Valle Deykert Aladier</t>
  </si>
  <si>
    <t>Hayman Godoy Bryan Jose</t>
  </si>
  <si>
    <t>Hernández Ruiz Norman Eduardo</t>
  </si>
  <si>
    <t>Incer Gomez Dany Joshua</t>
  </si>
  <si>
    <t>Mairena Espinoza Edwin Oswaldo</t>
  </si>
  <si>
    <t>Pastora Mendez Elmer Javier</t>
  </si>
  <si>
    <t>Pérez Marin Gregory Josue</t>
  </si>
  <si>
    <t>Rueda Zapata Axel José</t>
  </si>
  <si>
    <t>Segura Ríos Imanol de Jesús</t>
  </si>
  <si>
    <t>Tinoco Baldelomar Kevin Reynaldo</t>
  </si>
  <si>
    <t>Grupo</t>
  </si>
  <si>
    <t>Nombre</t>
  </si>
  <si>
    <t>Nota</t>
  </si>
  <si>
    <t>Contestado</t>
  </si>
  <si>
    <t>0</t>
  </si>
  <si>
    <t>1</t>
  </si>
  <si>
    <t>5</t>
  </si>
  <si>
    <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</si>
</sst>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0" fillId="0" borderId="0" xfId="0" applyNumberFormat="1" applyAlignment="1">
      <alignment wrapText="1"/>
    </xf>
    <xf numFmtId="0" fontId="1" fillId="0" borderId="0" xfId="0" applyFont="1" applyAlignment="1">
      <alignment horizontal="left" vertical="center"/>
    </xf>
    <xf numFmtId="49" fontId="1" fillId="0" borderId="0" xfId="0" applyNumberFormat="1" applyFont="1" applyAlignment="1">
      <alignment horizontal="left" vertical="center"/>
    </xf>
    <xf numFmtId="0" fontId="0" fillId="0" borderId="0" xfId="0" applyAlignment="1">
      <alignment horizontal="center" vertical="center"/>
    </xf>
  </cellXfs>
  <cellStyles count="1">
    <cellStyle name="Normal" xfId="0" builtinId="0"/>
  </cellStyles>
  <dxfs count="4">
    <dxf>
      <numFmt numFmtId="0" formatCode="General"/>
    </dxf>
    <dxf>
      <font>
        <b val="0"/>
        <i val="0"/>
        <strike val="0"/>
        <condense val="0"/>
        <extend val="0"/>
        <outline val="0"/>
        <shadow val="0"/>
        <u val="none"/>
        <vertAlign val="baseline"/>
        <sz val="10"/>
        <color theme="1"/>
        <name val="Times New Roman"/>
        <family val="1"/>
        <scheme val="none"/>
      </font>
      <numFmt numFmtId="30" formatCode="@"/>
      <alignment horizontal="left" vertical="center" textRotation="0" wrapText="0" indent="0" justifyLastLine="0" shrinkToFit="0" readingOrder="0"/>
    </dxf>
    <dxf>
      <font>
        <b val="0"/>
        <i val="0"/>
        <strike val="0"/>
        <condense val="0"/>
        <extend val="0"/>
        <outline val="0"/>
        <shadow val="0"/>
        <u val="none"/>
        <vertAlign val="baseline"/>
        <sz val="10"/>
        <color theme="1"/>
        <name val="Times New Roman"/>
        <family val="1"/>
        <scheme val="none"/>
      </font>
      <numFmt numFmtId="30" formatCode="@"/>
      <alignment horizontal="left"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5443</xdr:colOff>
      <xdr:row>0</xdr:row>
      <xdr:rowOff>0</xdr:rowOff>
    </xdr:from>
    <xdr:ext cx="3194958" cy="3379771"/>
    <xdr:sp macro="" textlink="">
      <xdr:nvSpPr>
        <xdr:cNvPr id="2" name="Rectángulo 1">
          <a:extLst>
            <a:ext uri="{FF2B5EF4-FFF2-40B4-BE49-F238E27FC236}">
              <a16:creationId xmlns:a16="http://schemas.microsoft.com/office/drawing/2014/main" id="{30DAE900-E2E5-7C32-510B-89D1DD7E7D66}"/>
            </a:ext>
          </a:extLst>
        </xdr:cNvPr>
        <xdr:cNvSpPr/>
      </xdr:nvSpPr>
      <xdr:spPr>
        <a:xfrm>
          <a:off x="5443" y="0"/>
          <a:ext cx="3194958" cy="3379771"/>
        </a:xfrm>
        <a:prstGeom prst="rect">
          <a:avLst/>
        </a:prstGeom>
        <a:noFill/>
      </xdr:spPr>
      <xdr:txBody>
        <a:bodyPr wrap="square" lIns="91440" tIns="45720" rIns="91440" bIns="45720">
          <a:spAutoFit/>
        </a:bodyPr>
        <a:lstStyle/>
        <a:p>
          <a:pPr algn="l"/>
          <a:r>
            <a:rPr lang="es-ES" sz="1400" b="0" cap="none" spc="0">
              <a:ln w="0"/>
              <a:solidFill>
                <a:schemeClr val="tx1"/>
              </a:solidFill>
              <a:effectLst>
                <a:outerShdw blurRad="38100" dist="19050" dir="2700000" algn="tl" rotWithShape="0">
                  <a:schemeClr val="dk1">
                    <a:alpha val="40000"/>
                  </a:schemeClr>
                </a:outerShdw>
              </a:effectLst>
            </a:rPr>
            <a:t>Esto es un ejemplo de algunas preguntas que se le</a:t>
          </a:r>
          <a:r>
            <a:rPr lang="es-ES" sz="1400" b="0" cap="none" spc="0" baseline="0">
              <a:ln w="0"/>
              <a:solidFill>
                <a:schemeClr val="tx1"/>
              </a:solidFill>
              <a:effectLst>
                <a:outerShdw blurRad="38100" dist="19050" dir="2700000" algn="tl" rotWithShape="0">
                  <a:schemeClr val="dk1">
                    <a:alpha val="40000"/>
                  </a:schemeClr>
                </a:outerShdw>
              </a:effectLst>
            </a:rPr>
            <a:t> pueden hacer durante la evaluación, el jurado calificador se reserva el derecho a realizar preguntas que no están listadas aquí en caso de considerarlo conveniente. Cada estudiante deberá responder al menos una pregunta para obtener su calificación completa, en caso de no contestar ninguna correctamente se le aplicará una penalización individual sobre la nota ganada en grupo. Los jurados se reservan el derecho de hacer más de una pregunta por persona en caso de no estar satisffechos con sus respuestas previas</a:t>
          </a:r>
          <a:endParaRPr lang="es-ES" sz="1400" b="0" cap="none" spc="0">
            <a:ln w="0"/>
            <a:solidFill>
              <a:schemeClr val="tx1"/>
            </a:solidFill>
            <a:effectLst>
              <a:outerShdw blurRad="38100" dist="19050" dir="2700000" algn="tl" rotWithShape="0">
                <a:schemeClr val="dk1">
                  <a:alpha val="40000"/>
                </a:schemeClr>
              </a:outerShdw>
            </a:effectLst>
          </a:endParaRPr>
        </a:p>
      </xdr:txBody>
    </xdr:sp>
    <xdr:clientData/>
  </xdr:one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4450AF2-E9C3-4A82-80EF-DF1D40FD5556}" name="Tabla5" displayName="Tabla5" ref="B3:D27" totalsRowShown="0">
  <autoFilter ref="B3:D27" xr:uid="{34450AF2-E9C3-4A82-80EF-DF1D40FD5556}"/>
  <tableColumns count="3">
    <tableColumn id="1" xr3:uid="{B7AC3F84-FC08-4417-992B-BEEAD54133D5}" name="Grupo" dataDxfId="3"/>
    <tableColumn id="2" xr3:uid="{457D2EAE-7D4C-46A4-9294-A50EF5A21991}" name="Pruebas / item"/>
    <tableColumn id="3" xr3:uid="{1C2EB015-7F4F-486C-908D-51CDB74ACFA8}" name="Producto"/>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1CFE285-9A8D-4047-8C30-1B20254C7262}" name="Tabla6" displayName="Tabla6" ref="B2:D18" totalsRowShown="0">
  <autoFilter ref="B2:D18" xr:uid="{D1CFE285-9A8D-4047-8C30-1B20254C7262}"/>
  <tableColumns count="3">
    <tableColumn id="1" xr3:uid="{358BCC7F-0CCE-493C-B341-D0061541713E}" name="Grupo"/>
    <tableColumn id="2" xr3:uid="{E7F8228A-DE37-4612-A711-8A69527FE092}" name="Pruebas / Item"/>
    <tableColumn id="3" xr3:uid="{757FD2C8-496E-433C-94AE-6A4B86609BF4}" name="Producto"/>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727AF4-CAE0-46EE-B8A1-BCFFE6279873}" name="Tabla3" displayName="Tabla3" ref="A2:D18" totalsRowShown="0">
  <autoFilter ref="A2:D18" xr:uid="{36727AF4-CAE0-46EE-B8A1-BCFFE6279873}"/>
  <tableColumns count="4">
    <tableColumn id="1" xr3:uid="{C4D3747D-21FA-4851-8295-8453184BA693}" name="Grupo"/>
    <tableColumn id="2" xr3:uid="{8CCB26C4-0D0D-4B75-9C6B-2AFAB97C5D73}" name="Nombre" dataDxfId="2"/>
    <tableColumn id="4" xr3:uid="{88454FE0-D8C6-426E-BCE2-CD5C5926DD5F}" name="Contestado" dataDxfId="1"/>
    <tableColumn id="3" xr3:uid="{76BF0898-848C-4C54-995D-E2A9ED2C13AB}" name="Nota" dataDxfId="0">
      <calculatedColumnFormula>((SUMIF(Tabla5[Grupo],Tabla3[[#This Row],[Grupo]],Tabla5[Producto])+SUMIF(Tabla6[Grupo],Tabla3[[#This Row],[Grupo]],Tabla6[Producto]))/4)</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0CC9FB-232E-42B6-9DE0-B0ED95E51DF6}">
  <sheetPr>
    <tabColor theme="6" tint="0.39997558519241921"/>
  </sheetPr>
  <dimension ref="B3:D27"/>
  <sheetViews>
    <sheetView topLeftCell="A4" zoomScaleNormal="140" workbookViewId="0">
      <selection activeCell="D27" sqref="D27"/>
    </sheetView>
  </sheetViews>
  <sheetFormatPr baseColWidth="10" defaultRowHeight="14.4" x14ac:dyDescent="0.3"/>
  <cols>
    <col min="3" max="3" width="14.5546875" customWidth="1"/>
  </cols>
  <sheetData>
    <row r="3" spans="2:4" x14ac:dyDescent="0.3">
      <c r="B3" t="s">
        <v>53</v>
      </c>
      <c r="C3" t="s">
        <v>7</v>
      </c>
      <c r="D3" t="s">
        <v>3</v>
      </c>
    </row>
    <row r="4" spans="2:4" x14ac:dyDescent="0.3">
      <c r="B4" s="4"/>
      <c r="C4" t="s">
        <v>35</v>
      </c>
      <c r="D4">
        <v>5</v>
      </c>
    </row>
    <row r="5" spans="2:4" x14ac:dyDescent="0.3">
      <c r="B5" s="4"/>
      <c r="C5" t="s">
        <v>0</v>
      </c>
      <c r="D5">
        <v>5</v>
      </c>
    </row>
    <row r="6" spans="2:4" x14ac:dyDescent="0.3">
      <c r="B6" s="4"/>
      <c r="C6" t="s">
        <v>1</v>
      </c>
      <c r="D6">
        <v>4</v>
      </c>
    </row>
    <row r="7" spans="2:4" x14ac:dyDescent="0.3">
      <c r="B7" s="4"/>
      <c r="C7" t="s">
        <v>2</v>
      </c>
      <c r="D7">
        <v>5</v>
      </c>
    </row>
    <row r="8" spans="2:4" x14ac:dyDescent="0.3">
      <c r="B8" s="4"/>
      <c r="C8" t="s">
        <v>4</v>
      </c>
      <c r="D8">
        <v>1</v>
      </c>
    </row>
    <row r="9" spans="2:4" x14ac:dyDescent="0.3">
      <c r="B9" s="4">
        <v>1</v>
      </c>
      <c r="C9" t="s">
        <v>36</v>
      </c>
      <c r="D9">
        <f>SUM(D4:D8)</f>
        <v>20</v>
      </c>
    </row>
    <row r="10" spans="2:4" x14ac:dyDescent="0.3">
      <c r="B10" s="4"/>
      <c r="C10" t="s">
        <v>35</v>
      </c>
      <c r="D10">
        <v>5</v>
      </c>
    </row>
    <row r="11" spans="2:4" x14ac:dyDescent="0.3">
      <c r="B11" s="4"/>
      <c r="C11" t="s">
        <v>0</v>
      </c>
      <c r="D11">
        <v>5</v>
      </c>
    </row>
    <row r="12" spans="2:4" x14ac:dyDescent="0.3">
      <c r="B12" s="4"/>
      <c r="C12" t="s">
        <v>1</v>
      </c>
      <c r="D12">
        <v>4</v>
      </c>
    </row>
    <row r="13" spans="2:4" x14ac:dyDescent="0.3">
      <c r="B13" s="4"/>
      <c r="C13" t="s">
        <v>2</v>
      </c>
      <c r="D13">
        <v>5</v>
      </c>
    </row>
    <row r="14" spans="2:4" x14ac:dyDescent="0.3">
      <c r="B14" s="4"/>
      <c r="C14" t="s">
        <v>4</v>
      </c>
      <c r="D14">
        <v>5</v>
      </c>
    </row>
    <row r="15" spans="2:4" x14ac:dyDescent="0.3">
      <c r="B15" s="4">
        <v>2</v>
      </c>
      <c r="C15" t="s">
        <v>36</v>
      </c>
      <c r="D15">
        <f>SUM(D10:D14)</f>
        <v>24</v>
      </c>
    </row>
    <row r="16" spans="2:4" x14ac:dyDescent="0.3">
      <c r="B16" s="4"/>
      <c r="C16" t="s">
        <v>35</v>
      </c>
      <c r="D16">
        <v>5</v>
      </c>
    </row>
    <row r="17" spans="2:4" x14ac:dyDescent="0.3">
      <c r="B17" s="4"/>
      <c r="C17" t="s">
        <v>0</v>
      </c>
      <c r="D17">
        <v>5</v>
      </c>
    </row>
    <row r="18" spans="2:4" x14ac:dyDescent="0.3">
      <c r="B18" s="4"/>
      <c r="C18" t="s">
        <v>1</v>
      </c>
      <c r="D18">
        <v>5</v>
      </c>
    </row>
    <row r="19" spans="2:4" x14ac:dyDescent="0.3">
      <c r="B19" s="4"/>
      <c r="C19" t="s">
        <v>2</v>
      </c>
      <c r="D19">
        <v>5</v>
      </c>
    </row>
    <row r="20" spans="2:4" x14ac:dyDescent="0.3">
      <c r="B20" s="4"/>
      <c r="C20" t="s">
        <v>4</v>
      </c>
      <c r="D20">
        <v>3</v>
      </c>
    </row>
    <row r="21" spans="2:4" x14ac:dyDescent="0.3">
      <c r="B21" s="4">
        <v>3</v>
      </c>
      <c r="C21" t="s">
        <v>36</v>
      </c>
      <c r="D21">
        <f t="shared" ref="D21:D27" si="0">SUM(D16:D20)</f>
        <v>23</v>
      </c>
    </row>
    <row r="22" spans="2:4" x14ac:dyDescent="0.3">
      <c r="B22" s="4"/>
      <c r="C22" t="s">
        <v>35</v>
      </c>
      <c r="D22">
        <v>5</v>
      </c>
    </row>
    <row r="23" spans="2:4" x14ac:dyDescent="0.3">
      <c r="B23" s="4"/>
      <c r="C23" t="s">
        <v>0</v>
      </c>
      <c r="D23">
        <v>5</v>
      </c>
    </row>
    <row r="24" spans="2:4" x14ac:dyDescent="0.3">
      <c r="B24" s="4"/>
      <c r="C24" t="s">
        <v>1</v>
      </c>
      <c r="D24">
        <v>5</v>
      </c>
    </row>
    <row r="25" spans="2:4" x14ac:dyDescent="0.3">
      <c r="B25" s="4"/>
      <c r="C25" t="s">
        <v>2</v>
      </c>
      <c r="D25">
        <v>5</v>
      </c>
    </row>
    <row r="26" spans="2:4" x14ac:dyDescent="0.3">
      <c r="B26" s="4"/>
      <c r="C26" t="s">
        <v>4</v>
      </c>
      <c r="D26">
        <v>4</v>
      </c>
    </row>
    <row r="27" spans="2:4" x14ac:dyDescent="0.3">
      <c r="B27" s="4">
        <v>4</v>
      </c>
      <c r="C27" t="s">
        <v>36</v>
      </c>
      <c r="D27">
        <f t="shared" si="0"/>
        <v>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59548A-7C50-4D7C-96FF-6F8B585B4FAE}">
  <sheetPr>
    <tabColor theme="6" tint="0.39997558519241921"/>
  </sheetPr>
  <dimension ref="B2:D18"/>
  <sheetViews>
    <sheetView zoomScale="140" zoomScaleNormal="140" workbookViewId="0">
      <selection activeCell="D18" sqref="D18"/>
    </sheetView>
  </sheetViews>
  <sheetFormatPr baseColWidth="10" defaultRowHeight="14.4" x14ac:dyDescent="0.3"/>
  <cols>
    <col min="2" max="2" width="18.21875" bestFit="1" customWidth="1"/>
    <col min="3" max="3" width="18.77734375" bestFit="1" customWidth="1"/>
    <col min="4" max="4" width="19.21875" bestFit="1" customWidth="1"/>
  </cols>
  <sheetData>
    <row r="2" spans="2:4" x14ac:dyDescent="0.3">
      <c r="B2" t="s">
        <v>53</v>
      </c>
      <c r="C2" t="s">
        <v>8</v>
      </c>
      <c r="D2" t="s">
        <v>3</v>
      </c>
    </row>
    <row r="3" spans="2:4" x14ac:dyDescent="0.3">
      <c r="C3" t="s">
        <v>5</v>
      </c>
      <c r="D3">
        <v>2</v>
      </c>
    </row>
    <row r="4" spans="2:4" x14ac:dyDescent="0.3">
      <c r="C4" t="s">
        <v>6</v>
      </c>
      <c r="D4">
        <v>3</v>
      </c>
    </row>
    <row r="5" spans="2:4" x14ac:dyDescent="0.3">
      <c r="C5" t="s">
        <v>34</v>
      </c>
      <c r="D5">
        <v>3</v>
      </c>
    </row>
    <row r="6" spans="2:4" x14ac:dyDescent="0.3">
      <c r="B6">
        <v>1</v>
      </c>
      <c r="C6" t="s">
        <v>36</v>
      </c>
      <c r="D6">
        <f>SUM(D3:D5)</f>
        <v>8</v>
      </c>
    </row>
    <row r="7" spans="2:4" x14ac:dyDescent="0.3">
      <c r="C7" t="s">
        <v>5</v>
      </c>
      <c r="D7">
        <v>5</v>
      </c>
    </row>
    <row r="8" spans="2:4" x14ac:dyDescent="0.3">
      <c r="C8" t="s">
        <v>6</v>
      </c>
      <c r="D8">
        <v>5</v>
      </c>
    </row>
    <row r="9" spans="2:4" x14ac:dyDescent="0.3">
      <c r="C9" t="s">
        <v>34</v>
      </c>
      <c r="D9">
        <v>2</v>
      </c>
    </row>
    <row r="10" spans="2:4" x14ac:dyDescent="0.3">
      <c r="B10">
        <v>2</v>
      </c>
      <c r="C10" t="s">
        <v>36</v>
      </c>
      <c r="D10">
        <f>SUM(D7:D9)</f>
        <v>12</v>
      </c>
    </row>
    <row r="11" spans="2:4" x14ac:dyDescent="0.3">
      <c r="C11" t="s">
        <v>5</v>
      </c>
      <c r="D11">
        <v>5</v>
      </c>
    </row>
    <row r="12" spans="2:4" x14ac:dyDescent="0.3">
      <c r="C12" t="s">
        <v>6</v>
      </c>
      <c r="D12">
        <v>5</v>
      </c>
    </row>
    <row r="13" spans="2:4" x14ac:dyDescent="0.3">
      <c r="C13" t="s">
        <v>34</v>
      </c>
      <c r="D13">
        <v>5</v>
      </c>
    </row>
    <row r="14" spans="2:4" x14ac:dyDescent="0.3">
      <c r="B14">
        <v>3</v>
      </c>
      <c r="C14" t="s">
        <v>36</v>
      </c>
      <c r="D14">
        <f t="shared" ref="D14:D18" si="0">SUM(D11:D13)</f>
        <v>15</v>
      </c>
    </row>
    <row r="15" spans="2:4" x14ac:dyDescent="0.3">
      <c r="C15" t="s">
        <v>5</v>
      </c>
      <c r="D15">
        <v>5</v>
      </c>
    </row>
    <row r="16" spans="2:4" x14ac:dyDescent="0.3">
      <c r="C16" t="s">
        <v>6</v>
      </c>
      <c r="D16">
        <v>5</v>
      </c>
    </row>
    <row r="17" spans="2:4" x14ac:dyDescent="0.3">
      <c r="C17" t="s">
        <v>34</v>
      </c>
      <c r="D17">
        <v>4</v>
      </c>
    </row>
    <row r="18" spans="2:4" x14ac:dyDescent="0.3">
      <c r="B18">
        <v>4</v>
      </c>
      <c r="C18" t="s">
        <v>36</v>
      </c>
      <c r="D18">
        <f t="shared" si="0"/>
        <v>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717AB-6C29-4065-8399-EC1AE89E2D34}">
  <sheetPr>
    <tabColor theme="6" tint="0.39997558519241921"/>
  </sheetPr>
  <dimension ref="F2:I19"/>
  <sheetViews>
    <sheetView topLeftCell="F8" zoomScale="140" zoomScaleNormal="140" workbookViewId="0">
      <selection activeCell="G9" sqref="G9"/>
    </sheetView>
  </sheetViews>
  <sheetFormatPr baseColWidth="10" defaultRowHeight="14.4" x14ac:dyDescent="0.3"/>
  <cols>
    <col min="6" max="9" width="23.77734375" customWidth="1"/>
  </cols>
  <sheetData>
    <row r="2" spans="6:9" x14ac:dyDescent="0.3">
      <c r="F2" t="s">
        <v>9</v>
      </c>
      <c r="G2" t="s">
        <v>10</v>
      </c>
      <c r="H2" t="s">
        <v>11</v>
      </c>
      <c r="I2" t="s">
        <v>13</v>
      </c>
    </row>
    <row r="3" spans="6:9" ht="100.8" x14ac:dyDescent="0.3">
      <c r="F3" s="1" t="s">
        <v>12</v>
      </c>
      <c r="G3" s="1" t="s">
        <v>18</v>
      </c>
      <c r="H3" s="1" t="s">
        <v>27</v>
      </c>
    </row>
    <row r="4" spans="6:9" ht="115.2" x14ac:dyDescent="0.3">
      <c r="F4" s="1" t="s">
        <v>14</v>
      </c>
      <c r="G4" s="1" t="s">
        <v>19</v>
      </c>
      <c r="H4" s="1" t="s">
        <v>28</v>
      </c>
    </row>
    <row r="5" spans="6:9" ht="86.4" x14ac:dyDescent="0.3">
      <c r="F5" s="1" t="s">
        <v>15</v>
      </c>
      <c r="G5" s="1" t="s">
        <v>20</v>
      </c>
      <c r="H5" s="1" t="s">
        <v>29</v>
      </c>
    </row>
    <row r="6" spans="6:9" ht="72" x14ac:dyDescent="0.3">
      <c r="F6" s="1" t="s">
        <v>16</v>
      </c>
      <c r="G6" s="1" t="s">
        <v>21</v>
      </c>
      <c r="H6" s="1" t="s">
        <v>30</v>
      </c>
    </row>
    <row r="7" spans="6:9" ht="86.4" x14ac:dyDescent="0.3">
      <c r="F7" s="1" t="s">
        <v>17</v>
      </c>
      <c r="G7" s="1" t="s">
        <v>22</v>
      </c>
      <c r="H7" s="1" t="s">
        <v>31</v>
      </c>
    </row>
    <row r="8" spans="6:9" ht="86.4" x14ac:dyDescent="0.3">
      <c r="F8" s="1" t="s">
        <v>25</v>
      </c>
      <c r="G8" s="1" t="s">
        <v>23</v>
      </c>
      <c r="H8" s="1" t="s">
        <v>32</v>
      </c>
    </row>
    <row r="9" spans="6:9" ht="115.2" x14ac:dyDescent="0.3">
      <c r="F9" s="1" t="s">
        <v>26</v>
      </c>
      <c r="G9" s="1" t="s">
        <v>24</v>
      </c>
      <c r="H9" s="1" t="s">
        <v>33</v>
      </c>
    </row>
    <row r="10" spans="6:9" x14ac:dyDescent="0.3">
      <c r="F10" s="1"/>
      <c r="G10" s="1"/>
      <c r="H10" s="1"/>
    </row>
    <row r="11" spans="6:9" x14ac:dyDescent="0.3">
      <c r="F11" s="1"/>
      <c r="G11" s="1"/>
      <c r="H11" s="1"/>
    </row>
    <row r="12" spans="6:9" x14ac:dyDescent="0.3">
      <c r="F12" s="1"/>
      <c r="G12" s="1"/>
      <c r="H12" s="1"/>
    </row>
    <row r="13" spans="6:9" x14ac:dyDescent="0.3">
      <c r="F13" s="1"/>
      <c r="G13" s="1"/>
      <c r="H13" s="1"/>
    </row>
    <row r="14" spans="6:9" x14ac:dyDescent="0.3">
      <c r="F14" s="1"/>
      <c r="G14" s="1"/>
      <c r="H14" s="1"/>
    </row>
    <row r="15" spans="6:9" x14ac:dyDescent="0.3">
      <c r="F15" s="1"/>
      <c r="G15" s="1"/>
      <c r="H15" s="1"/>
    </row>
    <row r="16" spans="6:9" x14ac:dyDescent="0.3">
      <c r="F16" s="1"/>
      <c r="G16" s="1"/>
      <c r="H16" s="1"/>
    </row>
    <row r="17" spans="6:8" x14ac:dyDescent="0.3">
      <c r="F17" s="1"/>
      <c r="G17" s="1"/>
      <c r="H17" s="1"/>
    </row>
    <row r="18" spans="6:8" x14ac:dyDescent="0.3">
      <c r="F18" s="1"/>
      <c r="G18" s="1"/>
      <c r="H18" s="1"/>
    </row>
    <row r="19" spans="6:8" x14ac:dyDescent="0.3">
      <c r="F19" s="1"/>
      <c r="G19" s="1"/>
      <c r="H19" s="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F3688-DF91-433A-BE29-A847EEBF7A79}">
  <dimension ref="A2:D18"/>
  <sheetViews>
    <sheetView tabSelected="1" workbookViewId="0">
      <selection activeCell="E22" sqref="E22"/>
    </sheetView>
  </sheetViews>
  <sheetFormatPr baseColWidth="10" defaultRowHeight="14.4" x14ac:dyDescent="0.3"/>
  <cols>
    <col min="2" max="2" width="28.44140625" bestFit="1" customWidth="1"/>
    <col min="3" max="3" width="12.77734375" bestFit="1" customWidth="1"/>
  </cols>
  <sheetData>
    <row r="2" spans="1:4" x14ac:dyDescent="0.3">
      <c r="A2" t="s">
        <v>53</v>
      </c>
      <c r="B2" t="s">
        <v>54</v>
      </c>
      <c r="C2" t="s">
        <v>56</v>
      </c>
      <c r="D2" t="s">
        <v>55</v>
      </c>
    </row>
    <row r="3" spans="1:4" x14ac:dyDescent="0.3">
      <c r="A3">
        <v>1</v>
      </c>
      <c r="B3" s="2" t="s">
        <v>37</v>
      </c>
      <c r="C3" s="2">
        <v>0</v>
      </c>
      <c r="D3">
        <f>((SUMIF(Tabla5[Grupo],Tabla3[[#This Row],[Grupo]],Tabla5[Producto])+SUMIF(Tabla6[Grupo],Tabla3[[#This Row],[Grupo]],Tabla6[Producto]))/4)</f>
        <v>7</v>
      </c>
    </row>
    <row r="4" spans="1:4" x14ac:dyDescent="0.3">
      <c r="A4">
        <v>2</v>
      </c>
      <c r="B4" s="3" t="s">
        <v>38</v>
      </c>
      <c r="C4" s="3"/>
      <c r="D4">
        <f>((SUMIF(Tabla5[Grupo],Tabla3[[#This Row],[Grupo]],Tabla5[Producto])+SUMIF(Tabla6[Grupo],Tabla3[[#This Row],[Grupo]],Tabla6[Producto]))/4)</f>
        <v>9</v>
      </c>
    </row>
    <row r="5" spans="1:4" x14ac:dyDescent="0.3">
      <c r="A5">
        <v>1</v>
      </c>
      <c r="B5" s="3" t="s">
        <v>39</v>
      </c>
      <c r="C5" s="3" t="s">
        <v>58</v>
      </c>
      <c r="D5">
        <f>((SUMIF(Tabla5[Grupo],Tabla3[[#This Row],[Grupo]],Tabla5[Producto])+SUMIF(Tabla6[Grupo],Tabla3[[#This Row],[Grupo]],Tabla6[Producto]))/4)</f>
        <v>7</v>
      </c>
    </row>
    <row r="6" spans="1:4" x14ac:dyDescent="0.3">
      <c r="A6">
        <v>1</v>
      </c>
      <c r="B6" s="3" t="s">
        <v>40</v>
      </c>
      <c r="C6" s="3" t="s">
        <v>57</v>
      </c>
      <c r="D6">
        <f>((SUMIF(Tabla5[Grupo],Tabla3[[#This Row],[Grupo]],Tabla5[Producto])+SUMIF(Tabla6[Grupo],Tabla3[[#This Row],[Grupo]],Tabla6[Producto]))/4)</f>
        <v>7</v>
      </c>
    </row>
    <row r="7" spans="1:4" x14ac:dyDescent="0.3">
      <c r="A7">
        <v>2</v>
      </c>
      <c r="B7" s="3" t="s">
        <v>41</v>
      </c>
      <c r="C7" s="3"/>
      <c r="D7">
        <f>((SUMIF(Tabla5[Grupo],Tabla3[[#This Row],[Grupo]],Tabla5[Producto])+SUMIF(Tabla6[Grupo],Tabla3[[#This Row],[Grupo]],Tabla6[Producto]))/4)</f>
        <v>9</v>
      </c>
    </row>
    <row r="8" spans="1:4" x14ac:dyDescent="0.3">
      <c r="A8">
        <v>4</v>
      </c>
      <c r="B8" s="3" t="s">
        <v>42</v>
      </c>
      <c r="C8" s="3" t="s">
        <v>60</v>
      </c>
      <c r="D8">
        <f>((SUMIF(Tabla5[Grupo],Tabla3[[#This Row],[Grupo]],Tabla5[Producto])+SUMIF(Tabla6[Grupo],Tabla3[[#This Row],[Grupo]],Tabla6[Producto]))/4)</f>
        <v>9.5</v>
      </c>
    </row>
    <row r="9" spans="1:4" x14ac:dyDescent="0.3">
      <c r="A9">
        <v>1</v>
      </c>
      <c r="B9" s="3" t="s">
        <v>43</v>
      </c>
      <c r="C9" s="3" t="s">
        <v>57</v>
      </c>
      <c r="D9">
        <f>((SUMIF(Tabla5[Grupo],Tabla3[[#This Row],[Grupo]],Tabla5[Producto])+SUMIF(Tabla6[Grupo],Tabla3[[#This Row],[Grupo]],Tabla6[Producto]))/4)</f>
        <v>7</v>
      </c>
    </row>
    <row r="10" spans="1:4" x14ac:dyDescent="0.3">
      <c r="A10">
        <v>4</v>
      </c>
      <c r="B10" s="3" t="s">
        <v>44</v>
      </c>
      <c r="C10" s="3" t="s">
        <v>59</v>
      </c>
      <c r="D10">
        <f>((SUMIF(Tabla5[Grupo],Tabla3[[#This Row],[Grupo]],Tabla5[Producto])+SUMIF(Tabla6[Grupo],Tabla3[[#This Row],[Grupo]],Tabla6[Producto]))/4)</f>
        <v>9.5</v>
      </c>
    </row>
    <row r="11" spans="1:4" x14ac:dyDescent="0.3">
      <c r="A11">
        <v>2</v>
      </c>
      <c r="B11" s="3" t="s">
        <v>45</v>
      </c>
      <c r="C11" s="3"/>
      <c r="D11">
        <f>((SUMIF(Tabla5[Grupo],Tabla3[[#This Row],[Grupo]],Tabla5[Producto])+SUMIF(Tabla6[Grupo],Tabla3[[#This Row],[Grupo]],Tabla6[Producto]))/4)</f>
        <v>9</v>
      </c>
    </row>
    <row r="12" spans="1:4" x14ac:dyDescent="0.3">
      <c r="A12">
        <v>3</v>
      </c>
      <c r="B12" s="3" t="s">
        <v>46</v>
      </c>
      <c r="C12" s="3"/>
      <c r="D12">
        <f>((SUMIF(Tabla5[Grupo],Tabla3[[#This Row],[Grupo]],Tabla5[Producto])+SUMIF(Tabla6[Grupo],Tabla3[[#This Row],[Grupo]],Tabla6[Producto]))/4)</f>
        <v>9.5</v>
      </c>
    </row>
    <row r="13" spans="1:4" x14ac:dyDescent="0.3">
      <c r="A13">
        <v>4</v>
      </c>
      <c r="B13" s="3" t="s">
        <v>47</v>
      </c>
      <c r="C13" s="3" t="s">
        <v>59</v>
      </c>
      <c r="D13">
        <f>((SUMIF(Tabla5[Grupo],Tabla3[[#This Row],[Grupo]],Tabla5[Producto])+SUMIF(Tabla6[Grupo],Tabla3[[#This Row],[Grupo]],Tabla6[Producto]))/4)</f>
        <v>9.5</v>
      </c>
    </row>
    <row r="14" spans="1:4" x14ac:dyDescent="0.3">
      <c r="A14">
        <v>2</v>
      </c>
      <c r="B14" s="3" t="s">
        <v>48</v>
      </c>
      <c r="C14" s="3"/>
      <c r="D14">
        <f>((SUMIF(Tabla5[Grupo],Tabla3[[#This Row],[Grupo]],Tabla5[Producto])+SUMIF(Tabla6[Grupo],Tabla3[[#This Row],[Grupo]],Tabla6[Producto]))/4)</f>
        <v>9</v>
      </c>
    </row>
    <row r="15" spans="1:4" x14ac:dyDescent="0.3">
      <c r="A15">
        <v>3</v>
      </c>
      <c r="B15" s="3" t="s">
        <v>49</v>
      </c>
      <c r="C15" s="3"/>
      <c r="D15">
        <f>((SUMIF(Tabla5[Grupo],Tabla3[[#This Row],[Grupo]],Tabla5[Producto])+SUMIF(Tabla6[Grupo],Tabla3[[#This Row],[Grupo]],Tabla6[Producto]))/4)</f>
        <v>9.5</v>
      </c>
    </row>
    <row r="16" spans="1:4" x14ac:dyDescent="0.3">
      <c r="A16">
        <v>4</v>
      </c>
      <c r="B16" s="3" t="s">
        <v>50</v>
      </c>
      <c r="C16" s="3"/>
      <c r="D16">
        <f>((SUMIF(Tabla5[Grupo],Tabla3[[#This Row],[Grupo]],Tabla5[Producto])+SUMIF(Tabla6[Grupo],Tabla3[[#This Row],[Grupo]],Tabla6[Producto]))/4)</f>
        <v>9.5</v>
      </c>
    </row>
    <row r="17" spans="1:4" x14ac:dyDescent="0.3">
      <c r="A17">
        <v>3</v>
      </c>
      <c r="B17" s="3" t="s">
        <v>51</v>
      </c>
      <c r="C17" s="3" t="s">
        <v>59</v>
      </c>
      <c r="D17">
        <f>((SUMIF(Tabla5[Grupo],Tabla3[[#This Row],[Grupo]],Tabla5[Producto])+SUMIF(Tabla6[Grupo],Tabla3[[#This Row],[Grupo]],Tabla6[Producto]))/4)</f>
        <v>9.5</v>
      </c>
    </row>
    <row r="18" spans="1:4" x14ac:dyDescent="0.3">
      <c r="A18">
        <v>2</v>
      </c>
      <c r="B18" s="2" t="s">
        <v>52</v>
      </c>
      <c r="C18" s="2"/>
      <c r="D18">
        <f>((SUMIF(Tabla5[Grupo],Tabla3[[#This Row],[Grupo]],Tabla5[Producto])+SUMIF(Tabla6[Grupo],Tabla3[[#This Row],[Grupo]],Tabla6[Producto]))/4)</f>
        <v>9</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38B64C-0B42-428A-A4C7-6F6372844E01}">
  <sheetPr>
    <tabColor theme="0" tint="-0.499984740745262"/>
  </sheetPr>
  <dimension ref="A1"/>
  <sheetViews>
    <sheetView topLeftCell="A2" zoomScale="140" zoomScaleNormal="140" workbookViewId="0">
      <selection activeCell="F20" sqref="F20"/>
    </sheetView>
  </sheetViews>
  <sheetFormatPr baseColWidth="10"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B7AFA-E44E-49C3-A3E9-26E3A1C7F8ED}">
  <sheetPr>
    <tabColor theme="0" tint="-0.499984740745262"/>
  </sheetPr>
  <dimension ref="A1"/>
  <sheetViews>
    <sheetView topLeftCell="A6" zoomScale="140" zoomScaleNormal="140" workbookViewId="0">
      <selection activeCell="G24" sqref="G24"/>
    </sheetView>
  </sheetViews>
  <sheetFormatPr baseColWidth="10"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5E730-3B91-4DDF-B0AC-36D807028696}">
  <sheetPr>
    <tabColor theme="0" tint="-0.499984740745262"/>
  </sheetPr>
  <dimension ref="A1"/>
  <sheetViews>
    <sheetView zoomScale="140" zoomScaleNormal="140" workbookViewId="0"/>
  </sheetViews>
  <sheetFormatPr baseColWidth="10" defaultRowHeight="14.4" x14ac:dyDescent="0.3"/>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68430B-DF0B-4573-947C-70D405B5F5C0}">
  <sheetPr>
    <tabColor theme="0" tint="-0.499984740745262"/>
  </sheetPr>
  <dimension ref="A1"/>
  <sheetViews>
    <sheetView topLeftCell="A7" zoomScale="140" zoomScaleNormal="140" workbookViewId="0">
      <selection activeCell="G25" sqref="G25"/>
    </sheetView>
  </sheetViews>
  <sheetFormatPr baseColWidth="10"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C34F0-BAF7-4BD3-A5A1-F0DE8BF9DCCA}">
  <sheetPr>
    <tabColor theme="0" tint="-0.499984740745262"/>
  </sheetPr>
  <dimension ref="A1"/>
  <sheetViews>
    <sheetView topLeftCell="A5" zoomScale="140" zoomScaleNormal="140" workbookViewId="0">
      <selection activeCell="H23" sqref="H23"/>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Funcionalidad</vt:lpstr>
      <vt:lpstr>Interfaz</vt:lpstr>
      <vt:lpstr>Cuestionario</vt:lpstr>
      <vt:lpstr>Nota</vt:lpstr>
      <vt:lpstr>Integración</vt:lpstr>
      <vt:lpstr>Rendimiento</vt:lpstr>
      <vt:lpstr>Seguridad</vt:lpstr>
      <vt:lpstr>Regresión</vt:lpstr>
      <vt:lpstr>Mantenimiento y actualización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Guillermo AntonioAguirre</dc:creator>
  <cp:lastModifiedBy>Guillermo AntonioAguirre</cp:lastModifiedBy>
  <dcterms:created xsi:type="dcterms:W3CDTF">2024-10-22T14:59:22Z</dcterms:created>
  <dcterms:modified xsi:type="dcterms:W3CDTF">2024-10-28T15:07:45Z</dcterms:modified>
</cp:coreProperties>
</file>