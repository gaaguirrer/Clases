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upoliedu-my.sharepoint.com/personal/gaguirre29_docente_unp_edu_ni/Documents/Clases/Materias/Ingeniería del Software II/"/>
    </mc:Choice>
  </mc:AlternateContent>
  <xr:revisionPtr revIDLastSave="0" documentId="13_ncr:3_{6E7C6931-2741-4950-B4BC-8BC08462D473}" xr6:coauthVersionLast="47" xr6:coauthVersionMax="47" xr10:uidLastSave="{00000000-0000-0000-0000-000000000000}"/>
  <bookViews>
    <workbookView xWindow="-108" yWindow="-108" windowWidth="23256" windowHeight="12456" xr2:uid="{CB943EA7-A41C-4ED9-84AC-C43023583EAD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D78" i="1"/>
  <c r="D77" i="1"/>
  <c r="D76" i="1"/>
  <c r="D73" i="1"/>
  <c r="D72" i="1"/>
  <c r="D71" i="1"/>
  <c r="D66" i="1"/>
  <c r="D65" i="1"/>
  <c r="D64" i="1"/>
  <c r="C68" i="1" s="1"/>
  <c r="D60" i="1"/>
  <c r="D59" i="1"/>
  <c r="D58" i="1"/>
  <c r="D55" i="1"/>
  <c r="D54" i="1"/>
  <c r="D53" i="1"/>
  <c r="D50" i="1"/>
  <c r="D49" i="1"/>
  <c r="D48" i="1"/>
  <c r="D45" i="1"/>
  <c r="D44" i="1"/>
  <c r="D43" i="1"/>
  <c r="D38" i="1"/>
  <c r="D37" i="1"/>
  <c r="D36" i="1"/>
  <c r="D33" i="1"/>
  <c r="D32" i="1"/>
  <c r="D31" i="1"/>
  <c r="D28" i="1"/>
  <c r="D27" i="1"/>
  <c r="D26" i="1"/>
  <c r="D23" i="1"/>
  <c r="D22" i="1"/>
  <c r="D21" i="1"/>
  <c r="D16" i="1"/>
  <c r="D15" i="1"/>
  <c r="D14" i="1"/>
  <c r="D11" i="1"/>
  <c r="D10" i="1"/>
  <c r="D9" i="1"/>
  <c r="C80" i="1" l="1"/>
  <c r="C62" i="1" l="1"/>
  <c r="C40" i="1"/>
  <c r="C18" i="1"/>
</calcChain>
</file>

<file path=xl/sharedStrings.xml><?xml version="1.0" encoding="utf-8"?>
<sst xmlns="http://schemas.openxmlformats.org/spreadsheetml/2006/main" count="77" uniqueCount="73">
  <si>
    <t>Nombre del proyecto:</t>
  </si>
  <si>
    <t>Interantes:</t>
  </si>
  <si>
    <t xml:space="preserve">Nota </t>
  </si>
  <si>
    <t>Requerimientos (25%)</t>
  </si>
  <si>
    <t>Requerimientos Funcionales (15%)</t>
  </si>
  <si>
    <t>15%: Los requerimientos funcionales están completos, bien definidos y cubren todos los aspectos clave del sistema.</t>
  </si>
  <si>
    <t>10%: Los requerimientos funcionales son adecuados pero presentan leves omisiones o no están claramente definidos.</t>
  </si>
  <si>
    <t>5%: Los requerimientos funcionales están incompletos o mal definidos.</t>
  </si>
  <si>
    <t>0%: No se han documentado los requerimientos funcionales.</t>
  </si>
  <si>
    <t>Requerimientos No Funcionales (10%)</t>
  </si>
  <si>
    <t>10%: Los requerimientos no funcionales son completos, precisos y están bien documentados.</t>
  </si>
  <si>
    <t>7%: Los requerimientos no funcionales son adecuados pero presentan pequeñas inconsistencias o faltantes.</t>
  </si>
  <si>
    <t>3%: Los requerimientos no funcionales son insuficientes o mal definidos.</t>
  </si>
  <si>
    <t>0%: No se han documentado los requerimientos no funcionales.</t>
  </si>
  <si>
    <t>Total</t>
  </si>
  <si>
    <t>Factibilidad del Proyecto (20%)</t>
  </si>
  <si>
    <t>Factibilidad Técnica (5%)</t>
  </si>
  <si>
    <t>5%: Existe una evaluación técnica detallada y el proyecto es técnicamente viable.</t>
  </si>
  <si>
    <t>3%: La evaluación técnica es superficial pero concluye que el proyecto es viable.</t>
  </si>
  <si>
    <t>1%: La evaluación técnica es deficiente y genera dudas sobre la viabilidad.</t>
  </si>
  <si>
    <t>0%: No se presenta evaluación técnica.</t>
  </si>
  <si>
    <t>Factibilidad Operativa (5%)</t>
  </si>
  <si>
    <t>5%: El proyecto es operativamente viable y cuenta con el respaldo de una evaluación clara.</t>
  </si>
  <si>
    <t>3%: La viabilidad operativa está respaldada por una evaluación parcial.</t>
  </si>
  <si>
    <t>1%: La evaluación operativa es deficiente o incompleta.</t>
  </si>
  <si>
    <t>0%: No se presenta evaluación operativa.</t>
  </si>
  <si>
    <t>Factibilidad Legal (5%)</t>
  </si>
  <si>
    <t>5%: Existe un análisis legal claro que demuestra la conformidad del proyecto con las normativas aplicables.</t>
  </si>
  <si>
    <t>3%: El análisis legal es superficial pero no identifica problemas significativos.</t>
  </si>
  <si>
    <t>1%: La evaluación legal es confusa o insuficiente.</t>
  </si>
  <si>
    <t>0%: No se presenta análisis legal.</t>
  </si>
  <si>
    <t>Factibilidad Económica (5%)</t>
  </si>
  <si>
    <t>5%: La evaluación económica es completa y demuestra la viabilidad financiera del proyecto.</t>
  </si>
  <si>
    <t>3%: La evaluación económica es parcial, pero muestra viabilidad general.</t>
  </si>
  <si>
    <t>1%: La evaluación económica es débil o insuficiente.</t>
  </si>
  <si>
    <t>0%: No se presenta evaluación económica.</t>
  </si>
  <si>
    <t>Diagramas UML (20%)</t>
  </si>
  <si>
    <t>Diagrama de Casos de Uso (5%)</t>
  </si>
  <si>
    <t>5%: El diagrama es claro, completo y refleja correctamente los requerimientos del sistema.</t>
  </si>
  <si>
    <t>3%: El diagrama es adecuado pero con leves inconsistencias.</t>
  </si>
  <si>
    <t>1%: El diagrama tiene errores significativos.</t>
  </si>
  <si>
    <t>0%: No se presenta diagrama de casos de uso.</t>
  </si>
  <si>
    <t>Diagrama de Clases (5%)</t>
  </si>
  <si>
    <t>5%: El diagrama es detallado, completo y coherente con el sistema.</t>
  </si>
  <si>
    <t>3%: El diagrama es adecuado pero incompleto.</t>
  </si>
  <si>
    <t>1%: El diagrama tiene fallos graves.</t>
  </si>
  <si>
    <t>0%: No se presenta diagrama de clases.</t>
  </si>
  <si>
    <t>Diagrama de Secuencia (5%)</t>
  </si>
  <si>
    <t>5%: El diagrama representa con precisión las interacciones entre objetos del sistema.</t>
  </si>
  <si>
    <t>3%: El diagrama es funcional pero presenta algunos errores.</t>
  </si>
  <si>
    <t>1%: El diagrama tiene omisiones o errores significativos.</t>
  </si>
  <si>
    <t>0%: No se presenta diagrama de secuencia.</t>
  </si>
  <si>
    <t>Diagrama de Estado (5%)</t>
  </si>
  <si>
    <t>5%: El diagrama representa correctamente los estados del sistema y sus transiciones.</t>
  </si>
  <si>
    <t>3%: El diagrama es adecuado pero presenta pequeñas omisiones o inconsistencias.</t>
  </si>
  <si>
    <t>1%: El diagrama es incompleto o tiene errores significativos.</t>
  </si>
  <si>
    <t>0%: No se presenta diagrama de estado.</t>
  </si>
  <si>
    <t>Cronograma y Responsabilidades (15%)</t>
  </si>
  <si>
    <t>15%: El cronograma es detallado, realista y está vinculado claramente con las responsabilidades asignadas.</t>
  </si>
  <si>
    <t>10%: El cronograma es adecuado pero carece de algunos detalles.</t>
  </si>
  <si>
    <t>5%: El cronograma tiene errores o no está relacionado con las responsabilidades asignadas.</t>
  </si>
  <si>
    <t>0%: No se presenta cronograma o asignación de responsabilidades.</t>
  </si>
  <si>
    <t>10%: La interfaz es funcional, intuitiva y cumple con los requerimientos establecidos.</t>
  </si>
  <si>
    <t>7%: La interfaz es funcional pero presenta pequeñas inconsistencias o errores.</t>
  </si>
  <si>
    <t>3%: La interfaz tiene defectos graves que dificultan su uso.</t>
  </si>
  <si>
    <t>0%: No se realizaron pruebas de interfaz.</t>
  </si>
  <si>
    <t>10%: Las funcionalidades del sistema están completamente implementadas y validadas correctamente.</t>
  </si>
  <si>
    <t>7%: Las funcionalidades están implementadas pero con errores menores en las validaciones.</t>
  </si>
  <si>
    <t>3%: Las funcionalidades son parciales o tienen errores significativos en las validaciones.</t>
  </si>
  <si>
    <t>0%: No se realizaron pruebas de funcionalidad o validaciones.</t>
  </si>
  <si>
    <t>Pruebas (20%)</t>
  </si>
  <si>
    <t>Pruebas de Interfaz (10%)</t>
  </si>
  <si>
    <t>Pruebas de Funcionalidad y Validaciones (10%)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</si>
</sst>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theme="1"/>
      <name val="Consolas"/>
      <family val="3"/>
    </font>
    <font>
      <b/>
      <sz val="12"/>
      <color rgb="FFFF0000"/>
      <name val="Consolas"/>
      <family val="3"/>
    </font>
    <font>
      <b/>
      <sz val="14"/>
      <color theme="1"/>
      <name val="Consolas"/>
      <family val="3"/>
    </font>
    <font>
      <b/>
      <sz val="12"/>
      <color theme="1"/>
      <name val="Consolas"/>
      <family val="3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1" fillId="0" borderId="6" xfId="0" applyFont="1" applyBorder="1"/>
    <xf numFmtId="0" fontId="0" fillId="0" borderId="7" xfId="0" applyBorder="1"/>
    <xf numFmtId="0" fontId="0" fillId="0" borderId="10" xfId="0" applyBorder="1"/>
    <xf numFmtId="0" fontId="2" fillId="0" borderId="11" xfId="0" applyFont="1" applyBorder="1" applyAlignment="1">
      <alignment horizontal="right"/>
    </xf>
    <xf numFmtId="0" fontId="0" fillId="0" borderId="14" xfId="0" applyBorder="1"/>
    <xf numFmtId="0" fontId="1" fillId="0" borderId="15" xfId="0" applyFont="1" applyBorder="1"/>
    <xf numFmtId="0" fontId="0" fillId="0" borderId="16" xfId="0" applyBorder="1"/>
    <xf numFmtId="0" fontId="2" fillId="0" borderId="17" xfId="0" applyFont="1" applyBorder="1" applyAlignment="1">
      <alignment horizontal="right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12" xfId="0" applyFont="1" applyBorder="1" applyAlignment="1">
      <alignment horizontal="left"/>
    </xf>
    <xf numFmtId="0" fontId="4" fillId="0" borderId="13" xfId="0" applyFont="1" applyBorder="1" applyAlignment="1">
      <alignment horizontal="left"/>
    </xf>
    <xf numFmtId="49" fontId="3" fillId="0" borderId="2" xfId="0" applyNumberFormat="1" applyFont="1" applyBorder="1" applyAlignment="1">
      <alignment horizontal="center"/>
    </xf>
    <xf numFmtId="49" fontId="3" fillId="0" borderId="3" xfId="0" applyNumberFormat="1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2A101-468D-428C-B75C-B7C6F4D7B96A}">
  <dimension ref="B2:D88"/>
  <sheetViews>
    <sheetView tabSelected="1" workbookViewId="0">
      <selection activeCell="C5" sqref="C5"/>
    </sheetView>
  </sheetViews>
  <sheetFormatPr baseColWidth="10" defaultRowHeight="14.4" x14ac:dyDescent="0.3"/>
  <cols>
    <col min="2" max="2" width="143.109375" bestFit="1" customWidth="1"/>
  </cols>
  <sheetData>
    <row r="2" spans="2:4" ht="15.6" x14ac:dyDescent="0.3">
      <c r="B2" s="1" t="s">
        <v>0</v>
      </c>
    </row>
    <row r="3" spans="2:4" ht="16.2" thickBot="1" x14ac:dyDescent="0.35">
      <c r="B3" s="1" t="s">
        <v>1</v>
      </c>
    </row>
    <row r="4" spans="2:4" ht="16.2" thickBot="1" x14ac:dyDescent="0.35">
      <c r="B4" s="2" t="s">
        <v>2</v>
      </c>
      <c r="C4" s="3">
        <f>(C18+C40+C62+C68+C80)*20</f>
        <v>0</v>
      </c>
    </row>
    <row r="6" spans="2:4" ht="15" thickBot="1" x14ac:dyDescent="0.35"/>
    <row r="7" spans="2:4" ht="18.600000000000001" thickBot="1" x14ac:dyDescent="0.4">
      <c r="B7" s="18" t="s">
        <v>3</v>
      </c>
      <c r="C7" s="19"/>
    </row>
    <row r="8" spans="2:4" ht="15.6" x14ac:dyDescent="0.3">
      <c r="B8" s="20" t="s">
        <v>4</v>
      </c>
      <c r="C8" s="21"/>
    </row>
    <row r="9" spans="2:4" ht="15.6" x14ac:dyDescent="0.3">
      <c r="B9" s="4" t="s">
        <v>5</v>
      </c>
      <c r="C9" s="5"/>
      <c r="D9" s="22">
        <f>IF(C9=1,0.15,0)</f>
        <v>0</v>
      </c>
    </row>
    <row r="10" spans="2:4" ht="15.6" x14ac:dyDescent="0.3">
      <c r="B10" s="4" t="s">
        <v>6</v>
      </c>
      <c r="C10" s="5"/>
      <c r="D10" s="22">
        <f>IF(C10=1,0.1,0)</f>
        <v>0</v>
      </c>
    </row>
    <row r="11" spans="2:4" ht="15.6" x14ac:dyDescent="0.3">
      <c r="B11" s="4" t="s">
        <v>7</v>
      </c>
      <c r="C11" s="5"/>
      <c r="D11" s="22">
        <f>IF(C11=1,0.05,0)</f>
        <v>0</v>
      </c>
    </row>
    <row r="12" spans="2:4" ht="15.6" x14ac:dyDescent="0.3">
      <c r="B12" s="4" t="s">
        <v>8</v>
      </c>
      <c r="C12" s="5"/>
      <c r="D12" s="22">
        <v>0</v>
      </c>
    </row>
    <row r="13" spans="2:4" ht="15.6" x14ac:dyDescent="0.3">
      <c r="B13" s="12" t="s">
        <v>9</v>
      </c>
      <c r="C13" s="13"/>
      <c r="D13" s="22"/>
    </row>
    <row r="14" spans="2:4" ht="15.6" x14ac:dyDescent="0.3">
      <c r="B14" s="4" t="s">
        <v>10</v>
      </c>
      <c r="C14" s="5"/>
      <c r="D14" s="22">
        <f>IF(C14=1,0.1,0)</f>
        <v>0</v>
      </c>
    </row>
    <row r="15" spans="2:4" ht="15.6" x14ac:dyDescent="0.3">
      <c r="B15" s="4" t="s">
        <v>11</v>
      </c>
      <c r="C15" s="5"/>
      <c r="D15" s="22">
        <f>IF(C15=1,0.07,0)</f>
        <v>0</v>
      </c>
    </row>
    <row r="16" spans="2:4" ht="15.6" x14ac:dyDescent="0.3">
      <c r="B16" s="4" t="s">
        <v>12</v>
      </c>
      <c r="C16" s="5"/>
      <c r="D16" s="22">
        <f>IF(C16=1,0.03,0)</f>
        <v>0</v>
      </c>
    </row>
    <row r="17" spans="2:4" ht="16.2" thickBot="1" x14ac:dyDescent="0.35">
      <c r="B17" s="4" t="s">
        <v>13</v>
      </c>
      <c r="C17" s="6"/>
      <c r="D17" s="22">
        <v>0</v>
      </c>
    </row>
    <row r="18" spans="2:4" ht="16.2" thickBot="1" x14ac:dyDescent="0.35">
      <c r="B18" s="7" t="s">
        <v>14</v>
      </c>
      <c r="C18" s="3">
        <f>SUM(D9:D17)</f>
        <v>0</v>
      </c>
      <c r="D18" s="22"/>
    </row>
    <row r="19" spans="2:4" ht="18.600000000000001" thickBot="1" x14ac:dyDescent="0.4">
      <c r="B19" s="14" t="s">
        <v>15</v>
      </c>
      <c r="C19" s="15"/>
    </row>
    <row r="20" spans="2:4" ht="15.6" x14ac:dyDescent="0.3">
      <c r="B20" s="16" t="s">
        <v>16</v>
      </c>
      <c r="C20" s="17"/>
    </row>
    <row r="21" spans="2:4" ht="15.6" x14ac:dyDescent="0.3">
      <c r="B21" s="4" t="s">
        <v>17</v>
      </c>
      <c r="C21" s="5"/>
      <c r="D21" s="22">
        <f>IF(C21=1,0.05,0)</f>
        <v>0</v>
      </c>
    </row>
    <row r="22" spans="2:4" ht="15.6" x14ac:dyDescent="0.3">
      <c r="B22" s="4" t="s">
        <v>18</v>
      </c>
      <c r="C22" s="5"/>
      <c r="D22" s="22">
        <f>IF(C22=1,0.03,0)</f>
        <v>0</v>
      </c>
    </row>
    <row r="23" spans="2:4" ht="15.6" x14ac:dyDescent="0.3">
      <c r="B23" s="4" t="s">
        <v>19</v>
      </c>
      <c r="C23" s="5"/>
      <c r="D23" s="22">
        <f>IF(C23=1,0.01,0)</f>
        <v>0</v>
      </c>
    </row>
    <row r="24" spans="2:4" ht="15.6" x14ac:dyDescent="0.3">
      <c r="B24" s="4" t="s">
        <v>20</v>
      </c>
      <c r="C24" s="5"/>
      <c r="D24" s="22">
        <v>0</v>
      </c>
    </row>
    <row r="25" spans="2:4" ht="15.6" x14ac:dyDescent="0.3">
      <c r="B25" s="12" t="s">
        <v>21</v>
      </c>
      <c r="C25" s="13"/>
      <c r="D25" s="22"/>
    </row>
    <row r="26" spans="2:4" ht="15.6" x14ac:dyDescent="0.3">
      <c r="B26" s="4" t="s">
        <v>22</v>
      </c>
      <c r="C26" s="5"/>
      <c r="D26" s="22">
        <f>IF(C26=1,0.05,0)</f>
        <v>0</v>
      </c>
    </row>
    <row r="27" spans="2:4" ht="15.6" x14ac:dyDescent="0.3">
      <c r="B27" s="4" t="s">
        <v>23</v>
      </c>
      <c r="C27" s="5"/>
      <c r="D27" s="22">
        <f>IF(C27=1,0.03,0)</f>
        <v>0</v>
      </c>
    </row>
    <row r="28" spans="2:4" ht="15.6" x14ac:dyDescent="0.3">
      <c r="B28" s="4" t="s">
        <v>24</v>
      </c>
      <c r="C28" s="5"/>
      <c r="D28" s="22">
        <f>IF(C28=1,0.01,0)</f>
        <v>0</v>
      </c>
    </row>
    <row r="29" spans="2:4" ht="15.6" x14ac:dyDescent="0.3">
      <c r="B29" s="4" t="s">
        <v>25</v>
      </c>
      <c r="C29" s="5"/>
      <c r="D29" s="22">
        <v>0</v>
      </c>
    </row>
    <row r="30" spans="2:4" ht="15.6" x14ac:dyDescent="0.3">
      <c r="B30" s="12" t="s">
        <v>26</v>
      </c>
      <c r="C30" s="13"/>
      <c r="D30" s="22"/>
    </row>
    <row r="31" spans="2:4" ht="15.6" x14ac:dyDescent="0.3">
      <c r="B31" s="4" t="s">
        <v>27</v>
      </c>
      <c r="C31" s="5"/>
      <c r="D31" s="22">
        <f>IF(C31=1,0.05,0)</f>
        <v>0</v>
      </c>
    </row>
    <row r="32" spans="2:4" ht="15.6" x14ac:dyDescent="0.3">
      <c r="B32" s="4" t="s">
        <v>28</v>
      </c>
      <c r="C32" s="5"/>
      <c r="D32" s="22">
        <f>IF(C32=1,0.03,0)</f>
        <v>0</v>
      </c>
    </row>
    <row r="33" spans="2:4" ht="15.6" x14ac:dyDescent="0.3">
      <c r="B33" s="4" t="s">
        <v>29</v>
      </c>
      <c r="C33" s="5"/>
      <c r="D33" s="22">
        <f>IF(C33=1,0.01,0)</f>
        <v>0</v>
      </c>
    </row>
    <row r="34" spans="2:4" ht="15.6" x14ac:dyDescent="0.3">
      <c r="B34" s="4" t="s">
        <v>30</v>
      </c>
      <c r="C34" s="5"/>
      <c r="D34" s="22">
        <v>0</v>
      </c>
    </row>
    <row r="35" spans="2:4" ht="15.6" x14ac:dyDescent="0.3">
      <c r="B35" s="12" t="s">
        <v>31</v>
      </c>
      <c r="C35" s="13"/>
      <c r="D35" s="22"/>
    </row>
    <row r="36" spans="2:4" ht="15.6" x14ac:dyDescent="0.3">
      <c r="B36" s="4" t="s">
        <v>32</v>
      </c>
      <c r="C36" s="5"/>
      <c r="D36" s="22">
        <f>IF(C36=1,0.05,0)</f>
        <v>0</v>
      </c>
    </row>
    <row r="37" spans="2:4" ht="15.6" x14ac:dyDescent="0.3">
      <c r="B37" s="4" t="s">
        <v>33</v>
      </c>
      <c r="C37" s="5"/>
      <c r="D37" s="22">
        <f>IF(C37=1,0.03,0)</f>
        <v>0</v>
      </c>
    </row>
    <row r="38" spans="2:4" ht="15.6" x14ac:dyDescent="0.3">
      <c r="B38" s="4" t="s">
        <v>34</v>
      </c>
      <c r="C38" s="5"/>
      <c r="D38" s="22">
        <f>IF(C38=1,0.01,0)</f>
        <v>0</v>
      </c>
    </row>
    <row r="39" spans="2:4" ht="16.2" thickBot="1" x14ac:dyDescent="0.35">
      <c r="B39" s="4" t="s">
        <v>35</v>
      </c>
      <c r="C39" s="6"/>
      <c r="D39" s="22">
        <v>0</v>
      </c>
    </row>
    <row r="40" spans="2:4" ht="16.2" thickBot="1" x14ac:dyDescent="0.35">
      <c r="B40" s="7" t="s">
        <v>14</v>
      </c>
      <c r="C40" s="8">
        <f>SUM(D21:D39)</f>
        <v>0</v>
      </c>
      <c r="D40" s="22"/>
    </row>
    <row r="41" spans="2:4" ht="18.600000000000001" thickBot="1" x14ac:dyDescent="0.4">
      <c r="B41" s="14" t="s">
        <v>36</v>
      </c>
      <c r="C41" s="15"/>
    </row>
    <row r="42" spans="2:4" ht="15.6" x14ac:dyDescent="0.3">
      <c r="B42" s="16" t="s">
        <v>37</v>
      </c>
      <c r="C42" s="17"/>
    </row>
    <row r="43" spans="2:4" ht="15.6" x14ac:dyDescent="0.3">
      <c r="B43" s="4" t="s">
        <v>38</v>
      </c>
      <c r="C43" s="5"/>
      <c r="D43" s="22">
        <f>IF(C43=1,0.05,0)</f>
        <v>0</v>
      </c>
    </row>
    <row r="44" spans="2:4" ht="15.6" x14ac:dyDescent="0.3">
      <c r="B44" s="4" t="s">
        <v>39</v>
      </c>
      <c r="C44" s="5"/>
      <c r="D44" s="22">
        <f>IF(C44=1,0.03,0)</f>
        <v>0</v>
      </c>
    </row>
    <row r="45" spans="2:4" ht="15.6" x14ac:dyDescent="0.3">
      <c r="B45" s="4" t="s">
        <v>40</v>
      </c>
      <c r="C45" s="5"/>
      <c r="D45" s="22">
        <f>IF(C45=1,0.01,0)</f>
        <v>0</v>
      </c>
    </row>
    <row r="46" spans="2:4" ht="15.6" x14ac:dyDescent="0.3">
      <c r="B46" s="4" t="s">
        <v>41</v>
      </c>
      <c r="C46" s="5"/>
      <c r="D46" s="22">
        <v>0</v>
      </c>
    </row>
    <row r="47" spans="2:4" ht="15.6" x14ac:dyDescent="0.3">
      <c r="B47" s="12" t="s">
        <v>42</v>
      </c>
      <c r="C47" s="13"/>
    </row>
    <row r="48" spans="2:4" ht="15.6" x14ac:dyDescent="0.3">
      <c r="B48" s="4" t="s">
        <v>43</v>
      </c>
      <c r="C48" s="5"/>
      <c r="D48" s="22">
        <f>IF(C48=1,0.05,0)</f>
        <v>0</v>
      </c>
    </row>
    <row r="49" spans="2:4" ht="15.6" x14ac:dyDescent="0.3">
      <c r="B49" s="4" t="s">
        <v>44</v>
      </c>
      <c r="C49" s="5"/>
      <c r="D49" s="22">
        <f>IF(C49=1,0.03,0)</f>
        <v>0</v>
      </c>
    </row>
    <row r="50" spans="2:4" ht="15.6" x14ac:dyDescent="0.3">
      <c r="B50" s="4" t="s">
        <v>45</v>
      </c>
      <c r="C50" s="5"/>
      <c r="D50" s="22">
        <f>IF(C50=1,0.01,0)</f>
        <v>0</v>
      </c>
    </row>
    <row r="51" spans="2:4" ht="15.6" x14ac:dyDescent="0.3">
      <c r="B51" s="4" t="s">
        <v>46</v>
      </c>
      <c r="C51" s="5"/>
      <c r="D51" s="22">
        <v>0</v>
      </c>
    </row>
    <row r="52" spans="2:4" ht="15.6" x14ac:dyDescent="0.3">
      <c r="B52" s="12" t="s">
        <v>47</v>
      </c>
      <c r="C52" s="13"/>
    </row>
    <row r="53" spans="2:4" ht="15.6" x14ac:dyDescent="0.3">
      <c r="B53" s="4" t="s">
        <v>48</v>
      </c>
      <c r="C53" s="5"/>
      <c r="D53" s="22">
        <f>IF(C53=1,0.05,0)</f>
        <v>0</v>
      </c>
    </row>
    <row r="54" spans="2:4" ht="15.6" x14ac:dyDescent="0.3">
      <c r="B54" s="4" t="s">
        <v>49</v>
      </c>
      <c r="C54" s="5"/>
      <c r="D54" s="22">
        <f>IF(C54=1,0.03,0)</f>
        <v>0</v>
      </c>
    </row>
    <row r="55" spans="2:4" ht="15.6" x14ac:dyDescent="0.3">
      <c r="B55" s="4" t="s">
        <v>50</v>
      </c>
      <c r="C55" s="5"/>
      <c r="D55" s="22">
        <f>IF(C55=1,0.01,0)</f>
        <v>0</v>
      </c>
    </row>
    <row r="56" spans="2:4" ht="15.6" x14ac:dyDescent="0.3">
      <c r="B56" s="4" t="s">
        <v>51</v>
      </c>
      <c r="C56" s="5"/>
      <c r="D56" s="22">
        <v>0</v>
      </c>
    </row>
    <row r="57" spans="2:4" ht="15.6" x14ac:dyDescent="0.3">
      <c r="B57" s="12" t="s">
        <v>52</v>
      </c>
      <c r="C57" s="13"/>
    </row>
    <row r="58" spans="2:4" ht="15.6" x14ac:dyDescent="0.3">
      <c r="B58" s="4" t="s">
        <v>53</v>
      </c>
      <c r="C58" s="5"/>
      <c r="D58" s="22">
        <f>IF(C58=1,0.05,0)</f>
        <v>0</v>
      </c>
    </row>
    <row r="59" spans="2:4" ht="15.6" x14ac:dyDescent="0.3">
      <c r="B59" s="4" t="s">
        <v>54</v>
      </c>
      <c r="C59" s="5"/>
      <c r="D59" s="22">
        <f>IF(C59=1,0.03,0)</f>
        <v>0</v>
      </c>
    </row>
    <row r="60" spans="2:4" ht="15.6" x14ac:dyDescent="0.3">
      <c r="B60" s="4" t="s">
        <v>55</v>
      </c>
      <c r="C60" s="5"/>
      <c r="D60" s="22">
        <f>IF(C60=1,0.01,0)</f>
        <v>0</v>
      </c>
    </row>
    <row r="61" spans="2:4" ht="16.2" thickBot="1" x14ac:dyDescent="0.35">
      <c r="B61" s="4" t="s">
        <v>56</v>
      </c>
      <c r="C61" s="6"/>
      <c r="D61" s="22">
        <v>0</v>
      </c>
    </row>
    <row r="62" spans="2:4" ht="16.2" thickBot="1" x14ac:dyDescent="0.35">
      <c r="B62" s="7" t="s">
        <v>14</v>
      </c>
      <c r="C62" s="8">
        <f>SUM(D43:D61)</f>
        <v>0</v>
      </c>
    </row>
    <row r="63" spans="2:4" ht="18.600000000000001" thickBot="1" x14ac:dyDescent="0.4">
      <c r="B63" s="14" t="s">
        <v>57</v>
      </c>
      <c r="C63" s="15"/>
    </row>
    <row r="64" spans="2:4" ht="15.6" x14ac:dyDescent="0.3">
      <c r="B64" s="9" t="s">
        <v>58</v>
      </c>
      <c r="C64" s="10"/>
      <c r="D64" s="22">
        <f t="shared" ref="D64" si="0">IF(C64=1,0.15,0)</f>
        <v>0</v>
      </c>
    </row>
    <row r="65" spans="2:4" ht="15.6" x14ac:dyDescent="0.3">
      <c r="B65" s="4" t="s">
        <v>59</v>
      </c>
      <c r="C65" s="5"/>
      <c r="D65" s="22">
        <f>IF(C65=1,0.1,0)</f>
        <v>0</v>
      </c>
    </row>
    <row r="66" spans="2:4" ht="15.6" x14ac:dyDescent="0.3">
      <c r="B66" s="4" t="s">
        <v>60</v>
      </c>
      <c r="C66" s="5"/>
      <c r="D66" s="22">
        <f>IF(C66=1,0.05,0)</f>
        <v>0</v>
      </c>
    </row>
    <row r="67" spans="2:4" ht="16.2" thickBot="1" x14ac:dyDescent="0.35">
      <c r="B67" s="4" t="s">
        <v>61</v>
      </c>
      <c r="C67" s="6"/>
      <c r="D67" s="22">
        <v>0</v>
      </c>
    </row>
    <row r="68" spans="2:4" ht="16.2" thickBot="1" x14ac:dyDescent="0.35">
      <c r="B68" s="7" t="s">
        <v>14</v>
      </c>
      <c r="C68" s="8">
        <f>SUM(D64:D67)</f>
        <v>0</v>
      </c>
    </row>
    <row r="69" spans="2:4" ht="18.600000000000001" thickBot="1" x14ac:dyDescent="0.4">
      <c r="B69" s="14" t="s">
        <v>70</v>
      </c>
      <c r="C69" s="15"/>
    </row>
    <row r="70" spans="2:4" ht="15.6" x14ac:dyDescent="0.3">
      <c r="B70" s="16" t="s">
        <v>71</v>
      </c>
      <c r="C70" s="17"/>
    </row>
    <row r="71" spans="2:4" ht="15.6" x14ac:dyDescent="0.3">
      <c r="B71" s="4" t="s">
        <v>62</v>
      </c>
      <c r="C71" s="5"/>
      <c r="D71" s="22">
        <f>IF(C71=1,0.1,0)</f>
        <v>0</v>
      </c>
    </row>
    <row r="72" spans="2:4" ht="15.6" x14ac:dyDescent="0.3">
      <c r="B72" s="4" t="s">
        <v>63</v>
      </c>
      <c r="C72" s="5"/>
      <c r="D72" s="22">
        <f>IF(C72=1,0.07,0)</f>
        <v>0</v>
      </c>
    </row>
    <row r="73" spans="2:4" ht="15.6" x14ac:dyDescent="0.3">
      <c r="B73" s="4" t="s">
        <v>64</v>
      </c>
      <c r="C73" s="5"/>
      <c r="D73" s="22">
        <f>IF(C73=1,0.03,0)</f>
        <v>0</v>
      </c>
    </row>
    <row r="74" spans="2:4" ht="15.6" x14ac:dyDescent="0.3">
      <c r="B74" s="4" t="s">
        <v>65</v>
      </c>
      <c r="C74" s="5"/>
      <c r="D74" s="22">
        <v>0</v>
      </c>
    </row>
    <row r="75" spans="2:4" ht="15.6" x14ac:dyDescent="0.3">
      <c r="B75" s="12" t="s">
        <v>72</v>
      </c>
      <c r="C75" s="13"/>
    </row>
    <row r="76" spans="2:4" ht="15.6" x14ac:dyDescent="0.3">
      <c r="B76" s="4" t="s">
        <v>66</v>
      </c>
      <c r="C76" s="5"/>
      <c r="D76" s="22">
        <f>IF(C76=1,0.1,0)</f>
        <v>0</v>
      </c>
    </row>
    <row r="77" spans="2:4" ht="15.6" x14ac:dyDescent="0.3">
      <c r="B77" s="4" t="s">
        <v>67</v>
      </c>
      <c r="C77" s="5"/>
      <c r="D77" s="22">
        <f>IF(C77=1,0.07,0)</f>
        <v>0</v>
      </c>
    </row>
    <row r="78" spans="2:4" ht="15.6" x14ac:dyDescent="0.3">
      <c r="B78" s="4" t="s">
        <v>68</v>
      </c>
      <c r="C78" s="5"/>
      <c r="D78" s="22">
        <f>IF(C78=1,0.03,0)</f>
        <v>0</v>
      </c>
    </row>
    <row r="79" spans="2:4" ht="16.2" thickBot="1" x14ac:dyDescent="0.35">
      <c r="B79" s="4" t="s">
        <v>69</v>
      </c>
      <c r="C79" s="6"/>
      <c r="D79" s="22">
        <v>0</v>
      </c>
    </row>
    <row r="80" spans="2:4" ht="16.2" thickBot="1" x14ac:dyDescent="0.35">
      <c r="B80" s="11" t="s">
        <v>14</v>
      </c>
      <c r="C80" s="3">
        <f>SUM(D70:D79)</f>
        <v>0</v>
      </c>
    </row>
    <row r="81" spans="2:2" ht="15.6" x14ac:dyDescent="0.3">
      <c r="B81" s="1"/>
    </row>
    <row r="82" spans="2:2" ht="15.6" x14ac:dyDescent="0.3">
      <c r="B82" s="1"/>
    </row>
    <row r="83" spans="2:2" ht="15.6" x14ac:dyDescent="0.3">
      <c r="B83" s="1"/>
    </row>
    <row r="84" spans="2:2" ht="15.6" x14ac:dyDescent="0.3">
      <c r="B84" s="1"/>
    </row>
    <row r="85" spans="2:2" ht="15.6" x14ac:dyDescent="0.3">
      <c r="B85" s="1"/>
    </row>
    <row r="86" spans="2:2" ht="15.6" x14ac:dyDescent="0.3">
      <c r="B86" s="1"/>
    </row>
    <row r="87" spans="2:2" ht="15.6" x14ac:dyDescent="0.3">
      <c r="B87" s="1"/>
    </row>
    <row r="88" spans="2:2" ht="15.6" x14ac:dyDescent="0.3">
      <c r="B88" s="1"/>
    </row>
  </sheetData>
  <mergeCells count="17">
    <mergeCell ref="B25:C25"/>
    <mergeCell ref="B69:C69"/>
    <mergeCell ref="B70:C70"/>
    <mergeCell ref="B75:C75"/>
    <mergeCell ref="B7:C7"/>
    <mergeCell ref="B8:C8"/>
    <mergeCell ref="B13:C13"/>
    <mergeCell ref="B19:C19"/>
    <mergeCell ref="B20:C20"/>
    <mergeCell ref="B57:C57"/>
    <mergeCell ref="B63:C63"/>
    <mergeCell ref="B30:C30"/>
    <mergeCell ref="B35:C35"/>
    <mergeCell ref="B41:C41"/>
    <mergeCell ref="B42:C42"/>
    <mergeCell ref="B47:C47"/>
    <mergeCell ref="B52:C5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AntonioAguirre</dc:creator>
  <cp:lastModifiedBy>Guillermo AntonioAguirre</cp:lastModifiedBy>
  <dcterms:created xsi:type="dcterms:W3CDTF">2024-12-14T14:40:13Z</dcterms:created>
  <dcterms:modified xsi:type="dcterms:W3CDTF">2024-12-14T15:10:30Z</dcterms:modified>
</cp:coreProperties>
</file>