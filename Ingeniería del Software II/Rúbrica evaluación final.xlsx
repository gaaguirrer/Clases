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Ingeniería del Software II/"/>
    </mc:Choice>
  </mc:AlternateContent>
  <xr:revisionPtr revIDLastSave="154" documentId="8_{59BD232B-84F2-4004-9213-05FD477DADDC}" xr6:coauthVersionLast="47" xr6:coauthVersionMax="47" xr10:uidLastSave="{EC217B75-7423-49BB-B5FE-283AB05FBF6E}"/>
  <bookViews>
    <workbookView xWindow="-108" yWindow="-108" windowWidth="23256" windowHeight="12456" xr2:uid="{135D8EAB-6BC5-4A5C-9DA1-44619711243C}"/>
  </bookViews>
  <sheets>
    <sheet name="Grupo 1" sheetId="3" r:id="rId1"/>
    <sheet name="Grupo 2" sheetId="2" r:id="rId2"/>
    <sheet name="Grupo 3" sheetId="1" r:id="rId3"/>
    <sheet name="Grupo 4" sheetId="4" r:id="rId4"/>
    <sheet name="Grupo 5" sheetId="6" r:id="rId5"/>
    <sheet name="Grupo x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6" l="1"/>
  <c r="D65" i="6"/>
  <c r="D64" i="6"/>
  <c r="C68" i="6" s="1"/>
  <c r="D60" i="6"/>
  <c r="D59" i="6"/>
  <c r="D58" i="6"/>
  <c r="D55" i="6"/>
  <c r="D54" i="6"/>
  <c r="D53" i="6"/>
  <c r="D50" i="6"/>
  <c r="D49" i="6"/>
  <c r="D48" i="6"/>
  <c r="D45" i="6"/>
  <c r="D44" i="6"/>
  <c r="D43" i="6"/>
  <c r="C62" i="6" s="1"/>
  <c r="D38" i="6"/>
  <c r="D37" i="6"/>
  <c r="C40" i="6" s="1"/>
  <c r="D36" i="6"/>
  <c r="D33" i="6"/>
  <c r="D32" i="6"/>
  <c r="D31" i="6"/>
  <c r="D28" i="6"/>
  <c r="D27" i="6"/>
  <c r="D26" i="6"/>
  <c r="D23" i="6"/>
  <c r="D22" i="6"/>
  <c r="D21" i="6"/>
  <c r="D16" i="6"/>
  <c r="D15" i="6"/>
  <c r="D14" i="6"/>
  <c r="D11" i="6"/>
  <c r="D10" i="6"/>
  <c r="D9" i="6"/>
  <c r="C4" i="5"/>
  <c r="D66" i="5"/>
  <c r="D65" i="5"/>
  <c r="D64" i="5"/>
  <c r="C68" i="5" s="1"/>
  <c r="D60" i="5"/>
  <c r="D59" i="5"/>
  <c r="D58" i="5"/>
  <c r="D55" i="5"/>
  <c r="D54" i="5"/>
  <c r="D53" i="5"/>
  <c r="D50" i="5"/>
  <c r="D49" i="5"/>
  <c r="D48" i="5"/>
  <c r="D45" i="5"/>
  <c r="D44" i="5"/>
  <c r="D43" i="5"/>
  <c r="C62" i="5" s="1"/>
  <c r="D38" i="5"/>
  <c r="D37" i="5"/>
  <c r="D36" i="5"/>
  <c r="D33" i="5"/>
  <c r="D32" i="5"/>
  <c r="D31" i="5"/>
  <c r="D28" i="5"/>
  <c r="D27" i="5"/>
  <c r="D26" i="5"/>
  <c r="D23" i="5"/>
  <c r="D22" i="5"/>
  <c r="D21" i="5"/>
  <c r="C40" i="5" s="1"/>
  <c r="D16" i="5"/>
  <c r="D15" i="5"/>
  <c r="D14" i="5"/>
  <c r="D11" i="5"/>
  <c r="D10" i="5"/>
  <c r="D9" i="5"/>
  <c r="C18" i="5" s="1"/>
  <c r="D66" i="4"/>
  <c r="D65" i="4"/>
  <c r="D64" i="4"/>
  <c r="D60" i="4"/>
  <c r="D59" i="4"/>
  <c r="D58" i="4"/>
  <c r="D55" i="4"/>
  <c r="D54" i="4"/>
  <c r="D53" i="4"/>
  <c r="D50" i="4"/>
  <c r="D49" i="4"/>
  <c r="D48" i="4"/>
  <c r="D45" i="4"/>
  <c r="D44" i="4"/>
  <c r="D43" i="4"/>
  <c r="D38" i="4"/>
  <c r="D37" i="4"/>
  <c r="D36" i="4"/>
  <c r="D33" i="4"/>
  <c r="D32" i="4"/>
  <c r="D31" i="4"/>
  <c r="D28" i="4"/>
  <c r="D27" i="4"/>
  <c r="D26" i="4"/>
  <c r="D23" i="4"/>
  <c r="D22" i="4"/>
  <c r="D21" i="4"/>
  <c r="D16" i="4"/>
  <c r="D15" i="4"/>
  <c r="D14" i="4"/>
  <c r="D11" i="4"/>
  <c r="D10" i="4"/>
  <c r="D9" i="4"/>
  <c r="D66" i="3"/>
  <c r="D65" i="3"/>
  <c r="D64" i="3"/>
  <c r="C68" i="3" s="1"/>
  <c r="D60" i="3"/>
  <c r="D59" i="3"/>
  <c r="D58" i="3"/>
  <c r="D55" i="3"/>
  <c r="D54" i="3"/>
  <c r="D53" i="3"/>
  <c r="D50" i="3"/>
  <c r="D49" i="3"/>
  <c r="D48" i="3"/>
  <c r="D45" i="3"/>
  <c r="D44" i="3"/>
  <c r="D43" i="3"/>
  <c r="D38" i="3"/>
  <c r="D37" i="3"/>
  <c r="D36" i="3"/>
  <c r="D33" i="3"/>
  <c r="D32" i="3"/>
  <c r="D31" i="3"/>
  <c r="D28" i="3"/>
  <c r="D27" i="3"/>
  <c r="D26" i="3"/>
  <c r="D23" i="3"/>
  <c r="D22" i="3"/>
  <c r="D21" i="3"/>
  <c r="D16" i="3"/>
  <c r="D15" i="3"/>
  <c r="D14" i="3"/>
  <c r="D11" i="3"/>
  <c r="D10" i="3"/>
  <c r="D9" i="3"/>
  <c r="D66" i="2"/>
  <c r="D65" i="2"/>
  <c r="D64" i="2"/>
  <c r="C68" i="2" s="1"/>
  <c r="D60" i="2"/>
  <c r="D59" i="2"/>
  <c r="D58" i="2"/>
  <c r="D55" i="2"/>
  <c r="D54" i="2"/>
  <c r="D53" i="2"/>
  <c r="D50" i="2"/>
  <c r="D49" i="2"/>
  <c r="D48" i="2"/>
  <c r="D45" i="2"/>
  <c r="D44" i="2"/>
  <c r="D43" i="2"/>
  <c r="D38" i="2"/>
  <c r="D37" i="2"/>
  <c r="D36" i="2"/>
  <c r="D33" i="2"/>
  <c r="D32" i="2"/>
  <c r="D31" i="2"/>
  <c r="D28" i="2"/>
  <c r="D27" i="2"/>
  <c r="D26" i="2"/>
  <c r="D23" i="2"/>
  <c r="D22" i="2"/>
  <c r="D21" i="2"/>
  <c r="D16" i="2"/>
  <c r="D15" i="2"/>
  <c r="D14" i="2"/>
  <c r="D11" i="2"/>
  <c r="D10" i="2"/>
  <c r="D9" i="2"/>
  <c r="D66" i="1"/>
  <c r="D65" i="1"/>
  <c r="D60" i="1"/>
  <c r="D59" i="1"/>
  <c r="D58" i="1"/>
  <c r="D55" i="1"/>
  <c r="D54" i="1"/>
  <c r="D53" i="1"/>
  <c r="D50" i="1"/>
  <c r="D49" i="1"/>
  <c r="D48" i="1"/>
  <c r="D45" i="1"/>
  <c r="D44" i="1"/>
  <c r="D43" i="1"/>
  <c r="D38" i="1"/>
  <c r="D37" i="1"/>
  <c r="D36" i="1"/>
  <c r="D33" i="1"/>
  <c r="D32" i="1"/>
  <c r="D31" i="1"/>
  <c r="D28" i="1"/>
  <c r="D27" i="1"/>
  <c r="D26" i="1"/>
  <c r="D23" i="1"/>
  <c r="D22" i="1"/>
  <c r="D21" i="1"/>
  <c r="D16" i="1"/>
  <c r="D15" i="1"/>
  <c r="D14" i="1"/>
  <c r="D11" i="1"/>
  <c r="D10" i="1"/>
  <c r="D64" i="1"/>
  <c r="D9" i="1"/>
  <c r="C68" i="1" l="1"/>
  <c r="C62" i="1"/>
  <c r="C18" i="3"/>
  <c r="C18" i="6"/>
  <c r="C18" i="4"/>
  <c r="C4" i="6"/>
  <c r="C40" i="3"/>
  <c r="C62" i="3"/>
  <c r="C62" i="2"/>
  <c r="C40" i="2"/>
  <c r="C4" i="2" s="1"/>
  <c r="C18" i="2"/>
  <c r="C62" i="4"/>
  <c r="C40" i="4"/>
  <c r="C68" i="4"/>
  <c r="C40" i="1"/>
  <c r="C18" i="1"/>
  <c r="C4" i="1" s="1"/>
  <c r="C4" i="4" l="1"/>
  <c r="C4" i="3"/>
</calcChain>
</file>

<file path=xl/sharedStrings.xml><?xml version="1.0" encoding="utf-8"?>
<sst xmlns="http://schemas.openxmlformats.org/spreadsheetml/2006/main" count="390" uniqueCount="72">
  <si>
    <t>Requerimientos (25%)</t>
  </si>
  <si>
    <t>Requerimientos Funcionales (15%)</t>
  </si>
  <si>
    <t>Requerimientos No Funcionales (10%)</t>
  </si>
  <si>
    <t>15%: Los requerimientos funcionales están completos, bien definidos y cubren todos los aspectos clave del sistema.</t>
  </si>
  <si>
    <t>10%: Los requerimientos funcionales son adecuados pero presentan leves omisiones o no están claramente definidos.</t>
  </si>
  <si>
    <t>5%: Los requerimientos funcionales están incompletos o mal definidos.</t>
  </si>
  <si>
    <t>0%: No se han documentado los requerimientos funcionales.</t>
  </si>
  <si>
    <t>10%: Los requerimientos no funcionales son completos, precisos y están bien documentados.</t>
  </si>
  <si>
    <t>7%: Los requerimientos no funcionales son adecuados pero presentan pequeñas inconsistencias o faltantes.</t>
  </si>
  <si>
    <t>3%: Los requerimientos no funcionales son insuficientes o mal definidos.</t>
  </si>
  <si>
    <t>0%: No se han documentado los requerimientos no funcionales.</t>
  </si>
  <si>
    <t>5%: Existe una evaluación técnica detallada y el proyecto es técnicamente viable.</t>
  </si>
  <si>
    <t>3%: La evaluación técnica es superficial pero concluye que el proyecto es viable.</t>
  </si>
  <si>
    <t>1%: La evaluación técnica es deficiente y genera dudas sobre la viabilidad.</t>
  </si>
  <si>
    <t>0%: No se presenta evaluación técnica.</t>
  </si>
  <si>
    <t>5%: El proyecto es operativamente viable y cuenta con el respaldo de una evaluación clara.</t>
  </si>
  <si>
    <t>3%: La viabilidad operativa está respaldada por una evaluación parcial.</t>
  </si>
  <si>
    <t>1%: La evaluación operativa es deficiente o incompleta.</t>
  </si>
  <si>
    <t>0%: No se presenta evaluación operativa.</t>
  </si>
  <si>
    <t>5%: Existe un análisis legal claro que demuestra la conformidad del proyecto con las normativas aplicables.</t>
  </si>
  <si>
    <t>3%: El análisis legal es superficial pero no identifica problemas significativos.</t>
  </si>
  <si>
    <t>1%: La evaluación legal es confusa o insuficiente.</t>
  </si>
  <si>
    <t>0%: No se presenta análisis legal.</t>
  </si>
  <si>
    <t>5%: La evaluación económica es completa y demuestra la viabilidad financiera del proyecto.</t>
  </si>
  <si>
    <t>3%: La evaluación económica es parcial, pero muestra viabilidad general.</t>
  </si>
  <si>
    <t>1%: La evaluación económica es débil o insuficiente.</t>
  </si>
  <si>
    <t>0%: No se presenta evaluación económica.</t>
  </si>
  <si>
    <t>Factibilidad del Proyecto (20%)</t>
  </si>
  <si>
    <t>Factibilidad Técnica (5%)</t>
  </si>
  <si>
    <t>Factibilidad Operativa (5%)</t>
  </si>
  <si>
    <t>Factibilidad Legal (5%)</t>
  </si>
  <si>
    <t>Factibilidad Económica (5%)</t>
  </si>
  <si>
    <t>5%: El diagrama es claro, completo y refleja correctamente los requerimientos del sistema.</t>
  </si>
  <si>
    <t>3%: El diagrama es adecuado pero con leves inconsistencias.</t>
  </si>
  <si>
    <t>1%: El diagrama tiene errores significativos.</t>
  </si>
  <si>
    <t>0%: No se presenta diagrama de casos de uso.</t>
  </si>
  <si>
    <t>5%: El diagrama es detallado, completo y coherente con el sistema.</t>
  </si>
  <si>
    <t>3%: El diagrama es adecuado pero incompleto.</t>
  </si>
  <si>
    <t>1%: El diagrama tiene fallos graves.</t>
  </si>
  <si>
    <t>0%: No se presenta diagrama de clases.</t>
  </si>
  <si>
    <t>5%: El diagrama representa con precisión las interacciones entre objetos del sistema.</t>
  </si>
  <si>
    <t>3%: El diagrama es funcional pero presenta algunos errores.</t>
  </si>
  <si>
    <t>1%: El diagrama tiene omisiones o errores significativos.</t>
  </si>
  <si>
    <t>0%: No se presenta diagrama de secuencia.</t>
  </si>
  <si>
    <t>5%: El diagrama representa correctamente los estados del sistema y sus transiciones.</t>
  </si>
  <si>
    <t>3%: El diagrama es adecuado pero presenta pequeñas omisiones o inconsistencias.</t>
  </si>
  <si>
    <t>1%: El diagrama es incompleto o tiene errores significativos.</t>
  </si>
  <si>
    <t>0%: No se presenta diagrama de estado.</t>
  </si>
  <si>
    <t>Diagramas UML (20%)</t>
  </si>
  <si>
    <t>Diagrama de Casos de Uso (5%)</t>
  </si>
  <si>
    <t>Diagrama de Clases (5%)</t>
  </si>
  <si>
    <t>Diagrama de Secuencia (5%)</t>
  </si>
  <si>
    <t>Diagrama de Estado (5%)</t>
  </si>
  <si>
    <t>15%: El cronograma es detallado, realista y está vinculado claramente con las responsabilidades asignadas.</t>
  </si>
  <si>
    <t>10%: El cronograma es adecuado pero carece de algunos detalles.</t>
  </si>
  <si>
    <t>5%: El cronograma tiene errores o no está relacionado con las responsabilidades asignadas.</t>
  </si>
  <si>
    <t>0%: No se presenta cronograma o asignación de responsabilidades.</t>
  </si>
  <si>
    <t>Cronograma y Responsabilidades (15%)</t>
  </si>
  <si>
    <t>Total</t>
  </si>
  <si>
    <t>Nombre del proyecto:</t>
  </si>
  <si>
    <t>Interantes:</t>
  </si>
  <si>
    <t xml:space="preserve">Nota </t>
  </si>
  <si>
    <t>Nombre del proyecto: Sistema de Facturación - Llarisa</t>
  </si>
  <si>
    <t>Interantes:Gregory Pérez, Dany Incer</t>
  </si>
  <si>
    <t>Nombre del proyecto:Sistema de factuación e Inventario Pintura Sur</t>
  </si>
  <si>
    <t>Nombre del proyecto: Sistema de Gestión de Biblioteca</t>
  </si>
  <si>
    <t>Interantes: Bryan Hayman, Harvin Cuadra, Elmer pastora, Alejandro Cruz</t>
  </si>
  <si>
    <t>Nombre del proyecto: Sistema de facturación Panadería ballesteros</t>
  </si>
  <si>
    <t>Interantes: Norman Hernandez, Carlos Bermudez, Kevin Tinoco</t>
  </si>
  <si>
    <t>Nombre del proyecto: Sistemas de facturación celulares y más</t>
  </si>
  <si>
    <t>Interantes: Axel rueda, harvin Cuadra, Edwin Mairena, Bryan Hayman</t>
  </si>
  <si>
    <t>Interantes: jareth Acevedo, Elsa Cerda, Ashly Castro, deykert guido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</si>
</sst>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Consolas"/>
      <family val="3"/>
    </font>
    <font>
      <b/>
      <sz val="12"/>
      <color theme="1"/>
      <name val="Consolas"/>
      <family val="3"/>
    </font>
    <font>
      <sz val="12"/>
      <color theme="1"/>
      <name val="Consolas"/>
      <family val="3"/>
    </font>
    <font>
      <b/>
      <sz val="12"/>
      <color rgb="FFFF0000"/>
      <name val="Consolas"/>
      <family val="3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5" fillId="0" borderId="0" xfId="0" applyFont="1"/>
    <xf numFmtId="0" fontId="0" fillId="0" borderId="8" xfId="0" applyBorder="1"/>
    <xf numFmtId="0" fontId="5" fillId="0" borderId="7" xfId="0" applyFont="1" applyBorder="1"/>
    <xf numFmtId="0" fontId="0" fillId="0" borderId="9" xfId="0" applyBorder="1"/>
    <xf numFmtId="0" fontId="6" fillId="0" borderId="6" xfId="0" applyFont="1" applyBorder="1" applyAlignment="1">
      <alignment horizontal="right"/>
    </xf>
    <xf numFmtId="0" fontId="0" fillId="0" borderId="1" xfId="0" applyBorder="1"/>
    <xf numFmtId="0" fontId="6" fillId="0" borderId="4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0" fillId="0" borderId="12" xfId="0" applyBorder="1"/>
    <xf numFmtId="0" fontId="0" fillId="0" borderId="14" xfId="0" applyBorder="1"/>
    <xf numFmtId="0" fontId="5" fillId="0" borderId="13" xfId="0" applyFont="1" applyBorder="1"/>
    <xf numFmtId="0" fontId="1" fillId="0" borderId="0" xfId="0" applyFont="1"/>
    <xf numFmtId="0" fontId="4" fillId="0" borderId="3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49" fontId="3" fillId="0" borderId="15" xfId="0" applyNumberFormat="1" applyFont="1" applyBorder="1" applyAlignment="1">
      <alignment horizontal="center"/>
    </xf>
    <xf numFmtId="49" fontId="3" fillId="0" borderId="16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C238-6A6F-4CEA-BD57-DB6BF19A4CC9}">
  <dimension ref="B2:D253"/>
  <sheetViews>
    <sheetView tabSelected="1" zoomScale="104" zoomScaleNormal="90" workbookViewId="0">
      <selection activeCell="F49" sqref="F49"/>
    </sheetView>
  </sheetViews>
  <sheetFormatPr baseColWidth="10" defaultRowHeight="14.4" x14ac:dyDescent="0.3"/>
  <cols>
    <col min="2" max="2" width="143.109375" bestFit="1" customWidth="1"/>
  </cols>
  <sheetData>
    <row r="2" spans="2:4" ht="15.6" x14ac:dyDescent="0.3">
      <c r="B2" s="2" t="s">
        <v>64</v>
      </c>
    </row>
    <row r="3" spans="2:4" ht="16.2" thickBot="1" x14ac:dyDescent="0.35">
      <c r="B3" s="2" t="s">
        <v>71</v>
      </c>
    </row>
    <row r="4" spans="2:4" ht="16.2" thickBot="1" x14ac:dyDescent="0.35">
      <c r="B4" s="9" t="s">
        <v>61</v>
      </c>
      <c r="C4" s="7">
        <f>((C18+C40+C62+C68)/0.8)*20</f>
        <v>20</v>
      </c>
    </row>
    <row r="6" spans="2:4" ht="15" thickBot="1" x14ac:dyDescent="0.35"/>
    <row r="7" spans="2:4" ht="18.600000000000001" thickBot="1" x14ac:dyDescent="0.4">
      <c r="B7" s="16" t="s">
        <v>0</v>
      </c>
      <c r="C7" s="17"/>
    </row>
    <row r="8" spans="2:4" ht="15.6" x14ac:dyDescent="0.3">
      <c r="B8" s="18" t="s">
        <v>1</v>
      </c>
      <c r="C8" s="19"/>
    </row>
    <row r="9" spans="2:4" ht="15.6" x14ac:dyDescent="0.3">
      <c r="B9" s="4" t="s">
        <v>3</v>
      </c>
      <c r="C9" s="3">
        <v>1</v>
      </c>
      <c r="D9" s="13">
        <f>IF(C9=1,0.15,0)</f>
        <v>0.15</v>
      </c>
    </row>
    <row r="10" spans="2:4" ht="15.6" x14ac:dyDescent="0.3">
      <c r="B10" s="4" t="s">
        <v>4</v>
      </c>
      <c r="C10" s="3"/>
      <c r="D10" s="13">
        <f>IF(C10=1,0.1,0)</f>
        <v>0</v>
      </c>
    </row>
    <row r="11" spans="2:4" ht="15.6" x14ac:dyDescent="0.3">
      <c r="B11" s="4" t="s">
        <v>5</v>
      </c>
      <c r="C11" s="3"/>
      <c r="D11" s="13">
        <f>IF(C11=1,0.05,0)</f>
        <v>0</v>
      </c>
    </row>
    <row r="12" spans="2:4" ht="15.6" x14ac:dyDescent="0.3">
      <c r="B12" s="4" t="s">
        <v>6</v>
      </c>
      <c r="C12" s="3"/>
      <c r="D12" s="13">
        <v>0</v>
      </c>
    </row>
    <row r="13" spans="2:4" ht="15.6" x14ac:dyDescent="0.3">
      <c r="B13" s="14" t="s">
        <v>2</v>
      </c>
      <c r="C13" s="15"/>
      <c r="D13" s="13"/>
    </row>
    <row r="14" spans="2:4" ht="15.6" x14ac:dyDescent="0.3">
      <c r="B14" s="4" t="s">
        <v>7</v>
      </c>
      <c r="C14" s="3">
        <v>1</v>
      </c>
      <c r="D14" s="13">
        <f>IF(C14=1,0.1,0)</f>
        <v>0.1</v>
      </c>
    </row>
    <row r="15" spans="2:4" ht="15.6" x14ac:dyDescent="0.3">
      <c r="B15" s="4" t="s">
        <v>8</v>
      </c>
      <c r="C15" s="3"/>
      <c r="D15" s="13">
        <f>IF(C15=1,0.07,0)</f>
        <v>0</v>
      </c>
    </row>
    <row r="16" spans="2:4" ht="15.6" x14ac:dyDescent="0.3">
      <c r="B16" s="4" t="s">
        <v>9</v>
      </c>
      <c r="C16" s="3"/>
      <c r="D16" s="13">
        <f>IF(C16=1,0.03,0)</f>
        <v>0</v>
      </c>
    </row>
    <row r="17" spans="2:4" ht="16.2" thickBot="1" x14ac:dyDescent="0.35">
      <c r="B17" s="4" t="s">
        <v>10</v>
      </c>
      <c r="C17" s="5"/>
      <c r="D17" s="13">
        <v>0</v>
      </c>
    </row>
    <row r="18" spans="2:4" ht="16.2" thickBot="1" x14ac:dyDescent="0.35">
      <c r="B18" s="6" t="s">
        <v>58</v>
      </c>
      <c r="C18" s="7">
        <f>SUM(D9:D17)</f>
        <v>0.25</v>
      </c>
      <c r="D18" s="13"/>
    </row>
    <row r="19" spans="2:4" ht="18.600000000000001" thickBot="1" x14ac:dyDescent="0.4">
      <c r="B19" s="20" t="s">
        <v>27</v>
      </c>
      <c r="C19" s="21"/>
    </row>
    <row r="20" spans="2:4" ht="15.6" x14ac:dyDescent="0.3">
      <c r="B20" s="22" t="s">
        <v>28</v>
      </c>
      <c r="C20" s="23"/>
    </row>
    <row r="21" spans="2:4" ht="15.6" x14ac:dyDescent="0.3">
      <c r="B21" s="4" t="s">
        <v>11</v>
      </c>
      <c r="C21" s="3">
        <v>1</v>
      </c>
      <c r="D21" s="13">
        <f>IF(C21=1,0.05,0)</f>
        <v>0.05</v>
      </c>
    </row>
    <row r="22" spans="2:4" ht="15.6" x14ac:dyDescent="0.3">
      <c r="B22" s="4" t="s">
        <v>12</v>
      </c>
      <c r="C22" s="3"/>
      <c r="D22" s="13">
        <f>IF(C22=1,0.03,0)</f>
        <v>0</v>
      </c>
    </row>
    <row r="23" spans="2:4" ht="15.6" x14ac:dyDescent="0.3">
      <c r="B23" s="4" t="s">
        <v>13</v>
      </c>
      <c r="C23" s="3"/>
      <c r="D23" s="13">
        <f>IF(C23=1,0.01,0)</f>
        <v>0</v>
      </c>
    </row>
    <row r="24" spans="2:4" ht="15.6" x14ac:dyDescent="0.3">
      <c r="B24" s="4" t="s">
        <v>14</v>
      </c>
      <c r="C24" s="3"/>
      <c r="D24" s="13">
        <v>0</v>
      </c>
    </row>
    <row r="25" spans="2:4" ht="15.6" x14ac:dyDescent="0.3">
      <c r="B25" s="14" t="s">
        <v>29</v>
      </c>
      <c r="C25" s="15"/>
      <c r="D25" s="13"/>
    </row>
    <row r="26" spans="2:4" ht="15.6" x14ac:dyDescent="0.3">
      <c r="B26" s="4" t="s">
        <v>15</v>
      </c>
      <c r="C26" s="3">
        <v>1</v>
      </c>
      <c r="D26" s="13">
        <f>IF(C26=1,0.05,0)</f>
        <v>0.05</v>
      </c>
    </row>
    <row r="27" spans="2:4" ht="15.6" x14ac:dyDescent="0.3">
      <c r="B27" s="4" t="s">
        <v>16</v>
      </c>
      <c r="C27" s="3"/>
      <c r="D27" s="13">
        <f>IF(C27=1,0.03,0)</f>
        <v>0</v>
      </c>
    </row>
    <row r="28" spans="2:4" ht="15.6" x14ac:dyDescent="0.3">
      <c r="B28" s="4" t="s">
        <v>17</v>
      </c>
      <c r="C28" s="3"/>
      <c r="D28" s="13">
        <f>IF(C28=1,0.01,0)</f>
        <v>0</v>
      </c>
    </row>
    <row r="29" spans="2:4" ht="15.6" x14ac:dyDescent="0.3">
      <c r="B29" s="4" t="s">
        <v>18</v>
      </c>
      <c r="C29" s="3"/>
      <c r="D29" s="13">
        <v>0</v>
      </c>
    </row>
    <row r="30" spans="2:4" ht="15.6" x14ac:dyDescent="0.3">
      <c r="B30" s="14" t="s">
        <v>30</v>
      </c>
      <c r="C30" s="15"/>
      <c r="D30" s="13"/>
    </row>
    <row r="31" spans="2:4" ht="15.6" x14ac:dyDescent="0.3">
      <c r="B31" s="4" t="s">
        <v>19</v>
      </c>
      <c r="C31" s="3">
        <v>1</v>
      </c>
      <c r="D31" s="13">
        <f>IF(C31=1,0.05,0)</f>
        <v>0.05</v>
      </c>
    </row>
    <row r="32" spans="2:4" ht="15.6" x14ac:dyDescent="0.3">
      <c r="B32" s="4" t="s">
        <v>20</v>
      </c>
      <c r="C32" s="3"/>
      <c r="D32" s="13">
        <f>IF(C32=1,0.03,0)</f>
        <v>0</v>
      </c>
    </row>
    <row r="33" spans="2:4" ht="15.6" x14ac:dyDescent="0.3">
      <c r="B33" s="4" t="s">
        <v>21</v>
      </c>
      <c r="C33" s="3"/>
      <c r="D33" s="13">
        <f>IF(C33=1,0.01,0)</f>
        <v>0</v>
      </c>
    </row>
    <row r="34" spans="2:4" ht="15.6" x14ac:dyDescent="0.3">
      <c r="B34" s="4" t="s">
        <v>22</v>
      </c>
      <c r="C34" s="3"/>
      <c r="D34" s="13">
        <v>0</v>
      </c>
    </row>
    <row r="35" spans="2:4" ht="15.6" x14ac:dyDescent="0.3">
      <c r="B35" s="14" t="s">
        <v>31</v>
      </c>
      <c r="C35" s="15"/>
      <c r="D35" s="13"/>
    </row>
    <row r="36" spans="2:4" ht="15.6" x14ac:dyDescent="0.3">
      <c r="B36" s="4" t="s">
        <v>23</v>
      </c>
      <c r="C36" s="3">
        <v>1</v>
      </c>
      <c r="D36" s="13">
        <f>IF(C36=1,0.05,0)</f>
        <v>0.05</v>
      </c>
    </row>
    <row r="37" spans="2:4" ht="15.6" x14ac:dyDescent="0.3">
      <c r="B37" s="4" t="s">
        <v>24</v>
      </c>
      <c r="C37" s="3"/>
      <c r="D37" s="13">
        <f>IF(C37=1,0.03,0)</f>
        <v>0</v>
      </c>
    </row>
    <row r="38" spans="2:4" ht="15.6" x14ac:dyDescent="0.3">
      <c r="B38" s="4" t="s">
        <v>25</v>
      </c>
      <c r="C38" s="3"/>
      <c r="D38" s="13">
        <f>IF(C38=1,0.01,0)</f>
        <v>0</v>
      </c>
    </row>
    <row r="39" spans="2:4" ht="16.2" thickBot="1" x14ac:dyDescent="0.35">
      <c r="B39" s="4" t="s">
        <v>26</v>
      </c>
      <c r="C39" s="5"/>
      <c r="D39" s="13">
        <v>0</v>
      </c>
    </row>
    <row r="40" spans="2:4" ht="16.2" thickBot="1" x14ac:dyDescent="0.35">
      <c r="B40" s="6" t="s">
        <v>58</v>
      </c>
      <c r="C40" s="10">
        <f>SUM(D21:D39)</f>
        <v>0.2</v>
      </c>
      <c r="D40" s="13"/>
    </row>
    <row r="41" spans="2:4" ht="18.600000000000001" thickBot="1" x14ac:dyDescent="0.4">
      <c r="B41" s="20" t="s">
        <v>48</v>
      </c>
      <c r="C41" s="21"/>
    </row>
    <row r="42" spans="2:4" ht="15.6" x14ac:dyDescent="0.3">
      <c r="B42" s="22" t="s">
        <v>49</v>
      </c>
      <c r="C42" s="23"/>
    </row>
    <row r="43" spans="2:4" ht="15.6" x14ac:dyDescent="0.3">
      <c r="B43" s="4" t="s">
        <v>32</v>
      </c>
      <c r="C43" s="3">
        <v>1</v>
      </c>
      <c r="D43" s="13">
        <f>IF(C43=1,0.05,0)</f>
        <v>0.05</v>
      </c>
    </row>
    <row r="44" spans="2:4" ht="15.6" x14ac:dyDescent="0.3">
      <c r="B44" s="4" t="s">
        <v>33</v>
      </c>
      <c r="C44" s="3"/>
      <c r="D44" s="13">
        <f>IF(C44=1,0.03,0)</f>
        <v>0</v>
      </c>
    </row>
    <row r="45" spans="2:4" ht="15.6" x14ac:dyDescent="0.3">
      <c r="B45" s="4" t="s">
        <v>34</v>
      </c>
      <c r="C45" s="3"/>
      <c r="D45" s="13">
        <f>IF(C45=1,0.01,0)</f>
        <v>0</v>
      </c>
    </row>
    <row r="46" spans="2:4" ht="15.6" x14ac:dyDescent="0.3">
      <c r="B46" s="4" t="s">
        <v>35</v>
      </c>
      <c r="C46" s="3"/>
      <c r="D46" s="13">
        <v>0</v>
      </c>
    </row>
    <row r="47" spans="2:4" ht="15.6" x14ac:dyDescent="0.3">
      <c r="B47" s="14" t="s">
        <v>50</v>
      </c>
      <c r="C47" s="15"/>
    </row>
    <row r="48" spans="2:4" ht="15.6" x14ac:dyDescent="0.3">
      <c r="B48" s="4" t="s">
        <v>36</v>
      </c>
      <c r="C48" s="3">
        <v>1</v>
      </c>
      <c r="D48" s="13">
        <f>IF(C48=1,0.05,0)</f>
        <v>0.05</v>
      </c>
    </row>
    <row r="49" spans="2:4" ht="15.6" x14ac:dyDescent="0.3">
      <c r="B49" s="4" t="s">
        <v>37</v>
      </c>
      <c r="C49" s="3"/>
      <c r="D49" s="13">
        <f>IF(C49=1,0.03,0)</f>
        <v>0</v>
      </c>
    </row>
    <row r="50" spans="2:4" ht="15.6" x14ac:dyDescent="0.3">
      <c r="B50" s="4" t="s">
        <v>38</v>
      </c>
      <c r="C50" s="3"/>
      <c r="D50" s="13">
        <f>IF(C50=1,0.01,0)</f>
        <v>0</v>
      </c>
    </row>
    <row r="51" spans="2:4" ht="15.6" x14ac:dyDescent="0.3">
      <c r="B51" s="4" t="s">
        <v>39</v>
      </c>
      <c r="C51" s="3"/>
      <c r="D51" s="13">
        <v>0</v>
      </c>
    </row>
    <row r="52" spans="2:4" ht="15.6" x14ac:dyDescent="0.3">
      <c r="B52" s="14" t="s">
        <v>51</v>
      </c>
      <c r="C52" s="15"/>
    </row>
    <row r="53" spans="2:4" ht="15.6" x14ac:dyDescent="0.3">
      <c r="B53" s="4" t="s">
        <v>40</v>
      </c>
      <c r="C53" s="3">
        <v>1</v>
      </c>
      <c r="D53" s="13">
        <f>IF(C53=1,0.05,0)</f>
        <v>0.05</v>
      </c>
    </row>
    <row r="54" spans="2:4" ht="15.6" x14ac:dyDescent="0.3">
      <c r="B54" s="4" t="s">
        <v>41</v>
      </c>
      <c r="C54" s="3"/>
      <c r="D54" s="13">
        <f>IF(C54=1,0.03,0)</f>
        <v>0</v>
      </c>
    </row>
    <row r="55" spans="2:4" ht="15.6" x14ac:dyDescent="0.3">
      <c r="B55" s="4" t="s">
        <v>42</v>
      </c>
      <c r="C55" s="3"/>
      <c r="D55" s="13">
        <f>IF(C55=1,0.01,0)</f>
        <v>0</v>
      </c>
    </row>
    <row r="56" spans="2:4" ht="15.6" x14ac:dyDescent="0.3">
      <c r="B56" s="4" t="s">
        <v>43</v>
      </c>
      <c r="C56" s="3"/>
      <c r="D56" s="13">
        <v>0</v>
      </c>
    </row>
    <row r="57" spans="2:4" ht="15.6" x14ac:dyDescent="0.3">
      <c r="B57" s="14" t="s">
        <v>52</v>
      </c>
      <c r="C57" s="15"/>
    </row>
    <row r="58" spans="2:4" ht="15.6" x14ac:dyDescent="0.3">
      <c r="B58" s="4" t="s">
        <v>44</v>
      </c>
      <c r="C58" s="3">
        <v>1</v>
      </c>
      <c r="D58" s="13">
        <f>IF(C58=1,0.05,0)</f>
        <v>0.05</v>
      </c>
    </row>
    <row r="59" spans="2:4" ht="15.6" x14ac:dyDescent="0.3">
      <c r="B59" s="4" t="s">
        <v>45</v>
      </c>
      <c r="C59" s="3"/>
      <c r="D59" s="13">
        <f>IF(C59=1,0.03,0)</f>
        <v>0</v>
      </c>
    </row>
    <row r="60" spans="2:4" ht="15.6" x14ac:dyDescent="0.3">
      <c r="B60" s="4" t="s">
        <v>46</v>
      </c>
      <c r="C60" s="3"/>
      <c r="D60" s="13">
        <f>IF(C60=1,0.01,0)</f>
        <v>0</v>
      </c>
    </row>
    <row r="61" spans="2:4" ht="16.2" thickBot="1" x14ac:dyDescent="0.35">
      <c r="B61" s="4" t="s">
        <v>47</v>
      </c>
      <c r="C61" s="5"/>
      <c r="D61" s="13">
        <v>0</v>
      </c>
    </row>
    <row r="62" spans="2:4" ht="16.2" thickBot="1" x14ac:dyDescent="0.35">
      <c r="B62" s="6" t="s">
        <v>58</v>
      </c>
      <c r="C62" s="10">
        <f>SUM(D43:D61)</f>
        <v>0.2</v>
      </c>
    </row>
    <row r="63" spans="2:4" ht="18.600000000000001" thickBot="1" x14ac:dyDescent="0.4">
      <c r="B63" s="20" t="s">
        <v>57</v>
      </c>
      <c r="C63" s="21"/>
    </row>
    <row r="64" spans="2:4" ht="15.6" x14ac:dyDescent="0.3">
      <c r="B64" s="12" t="s">
        <v>53</v>
      </c>
      <c r="C64" s="11">
        <v>1</v>
      </c>
      <c r="D64" s="13">
        <f t="shared" ref="D64" si="0">IF(C64=1,0.15,0)</f>
        <v>0.15</v>
      </c>
    </row>
    <row r="65" spans="2:4" ht="15.6" x14ac:dyDescent="0.3">
      <c r="B65" s="4" t="s">
        <v>54</v>
      </c>
      <c r="C65" s="3"/>
      <c r="D65" s="13">
        <f>IF(C65=1,0.1,0)</f>
        <v>0</v>
      </c>
    </row>
    <row r="66" spans="2:4" ht="15.6" x14ac:dyDescent="0.3">
      <c r="B66" s="4" t="s">
        <v>55</v>
      </c>
      <c r="C66" s="3"/>
      <c r="D66" s="13">
        <f>IF(C66=1,0.05,0)</f>
        <v>0</v>
      </c>
    </row>
    <row r="67" spans="2:4" ht="16.2" thickBot="1" x14ac:dyDescent="0.35">
      <c r="B67" s="4" t="s">
        <v>56</v>
      </c>
      <c r="C67" s="5"/>
      <c r="D67" s="13">
        <v>0</v>
      </c>
    </row>
    <row r="68" spans="2:4" ht="16.2" thickBot="1" x14ac:dyDescent="0.35">
      <c r="B68" s="8" t="s">
        <v>58</v>
      </c>
      <c r="C68" s="7">
        <f>SUM(D64:D67)</f>
        <v>0.15</v>
      </c>
    </row>
    <row r="69" spans="2:4" ht="15.6" x14ac:dyDescent="0.3">
      <c r="B69" s="2"/>
    </row>
    <row r="70" spans="2:4" ht="15.6" x14ac:dyDescent="0.3">
      <c r="B70" s="2"/>
    </row>
    <row r="71" spans="2:4" ht="15.6" x14ac:dyDescent="0.3">
      <c r="B71" s="2"/>
    </row>
    <row r="72" spans="2:4" ht="15.6" x14ac:dyDescent="0.3">
      <c r="B72" s="2"/>
    </row>
    <row r="73" spans="2:4" ht="15.6" x14ac:dyDescent="0.3">
      <c r="B73" s="2"/>
    </row>
    <row r="74" spans="2:4" ht="15.6" x14ac:dyDescent="0.3">
      <c r="B74" s="2"/>
    </row>
    <row r="75" spans="2:4" ht="15.6" x14ac:dyDescent="0.3">
      <c r="B75" s="2"/>
    </row>
    <row r="76" spans="2:4" ht="15.6" x14ac:dyDescent="0.3">
      <c r="B76" s="2"/>
    </row>
    <row r="77" spans="2:4" ht="15.6" x14ac:dyDescent="0.3">
      <c r="B77" s="2"/>
    </row>
    <row r="78" spans="2:4" ht="15.6" x14ac:dyDescent="0.3">
      <c r="B78" s="2"/>
    </row>
    <row r="79" spans="2:4" ht="15.6" x14ac:dyDescent="0.3">
      <c r="B79" s="2"/>
    </row>
    <row r="80" spans="2:4" ht="15.6" x14ac:dyDescent="0.3">
      <c r="B80" s="2"/>
    </row>
    <row r="81" spans="2:2" ht="15.6" x14ac:dyDescent="0.3">
      <c r="B81" s="2"/>
    </row>
    <row r="82" spans="2:2" ht="15.6" x14ac:dyDescent="0.3">
      <c r="B82" s="2"/>
    </row>
    <row r="83" spans="2:2" ht="15.6" x14ac:dyDescent="0.3">
      <c r="B83" s="2"/>
    </row>
    <row r="84" spans="2:2" ht="15.6" x14ac:dyDescent="0.3">
      <c r="B84" s="2"/>
    </row>
    <row r="85" spans="2:2" ht="15.6" x14ac:dyDescent="0.3">
      <c r="B85" s="2"/>
    </row>
    <row r="86" spans="2:2" ht="15.6" x14ac:dyDescent="0.3">
      <c r="B86" s="2"/>
    </row>
    <row r="87" spans="2:2" ht="15.6" x14ac:dyDescent="0.3">
      <c r="B87" s="2"/>
    </row>
    <row r="88" spans="2:2" ht="15.6" x14ac:dyDescent="0.3">
      <c r="B88" s="2"/>
    </row>
    <row r="89" spans="2:2" ht="15.6" x14ac:dyDescent="0.3">
      <c r="B89" s="2"/>
    </row>
    <row r="90" spans="2:2" ht="15.6" x14ac:dyDescent="0.3">
      <c r="B90" s="2"/>
    </row>
    <row r="91" spans="2:2" ht="15.6" x14ac:dyDescent="0.3">
      <c r="B91" s="2"/>
    </row>
    <row r="92" spans="2:2" ht="15.6" x14ac:dyDescent="0.3">
      <c r="B92" s="2"/>
    </row>
    <row r="93" spans="2:2" ht="15.6" x14ac:dyDescent="0.3">
      <c r="B93" s="2"/>
    </row>
    <row r="94" spans="2:2" ht="15.6" x14ac:dyDescent="0.3">
      <c r="B94" s="2"/>
    </row>
    <row r="95" spans="2:2" ht="15.6" x14ac:dyDescent="0.3">
      <c r="B95" s="2"/>
    </row>
    <row r="96" spans="2:2" ht="15.6" x14ac:dyDescent="0.3">
      <c r="B96" s="2"/>
    </row>
    <row r="97" spans="2:2" ht="15.6" x14ac:dyDescent="0.3">
      <c r="B97" s="2"/>
    </row>
    <row r="98" spans="2:2" ht="15.6" x14ac:dyDescent="0.3">
      <c r="B98" s="2"/>
    </row>
    <row r="99" spans="2:2" ht="15.6" x14ac:dyDescent="0.3">
      <c r="B99" s="2"/>
    </row>
    <row r="100" spans="2:2" ht="15.6" x14ac:dyDescent="0.3">
      <c r="B100" s="2"/>
    </row>
    <row r="101" spans="2:2" ht="15.6" x14ac:dyDescent="0.3">
      <c r="B101" s="2"/>
    </row>
    <row r="102" spans="2:2" ht="15.6" x14ac:dyDescent="0.3">
      <c r="B102" s="2"/>
    </row>
    <row r="103" spans="2:2" ht="15.6" x14ac:dyDescent="0.3">
      <c r="B103" s="2"/>
    </row>
    <row r="104" spans="2:2" ht="15.6" x14ac:dyDescent="0.3">
      <c r="B104" s="2"/>
    </row>
    <row r="105" spans="2:2" ht="15.6" x14ac:dyDescent="0.3">
      <c r="B105" s="2"/>
    </row>
    <row r="106" spans="2:2" ht="15.6" x14ac:dyDescent="0.3">
      <c r="B106" s="2"/>
    </row>
    <row r="107" spans="2:2" ht="15.6" x14ac:dyDescent="0.3">
      <c r="B107" s="2"/>
    </row>
    <row r="108" spans="2:2" ht="15.6" x14ac:dyDescent="0.3">
      <c r="B108" s="2"/>
    </row>
    <row r="109" spans="2:2" ht="15.6" x14ac:dyDescent="0.3">
      <c r="B109" s="2"/>
    </row>
    <row r="110" spans="2:2" ht="15.6" x14ac:dyDescent="0.3">
      <c r="B110" s="2"/>
    </row>
    <row r="111" spans="2:2" ht="15.6" x14ac:dyDescent="0.3">
      <c r="B111" s="2"/>
    </row>
    <row r="112" spans="2:2" ht="15.6" x14ac:dyDescent="0.3">
      <c r="B112" s="2"/>
    </row>
    <row r="113" spans="2:2" ht="15.6" x14ac:dyDescent="0.3">
      <c r="B113" s="2"/>
    </row>
    <row r="114" spans="2:2" ht="15.6" x14ac:dyDescent="0.3">
      <c r="B114" s="2"/>
    </row>
    <row r="115" spans="2:2" ht="15.6" x14ac:dyDescent="0.3">
      <c r="B115" s="2"/>
    </row>
    <row r="116" spans="2:2" ht="15.6" x14ac:dyDescent="0.3">
      <c r="B116" s="2"/>
    </row>
    <row r="117" spans="2:2" ht="15.6" x14ac:dyDescent="0.3">
      <c r="B117" s="2"/>
    </row>
    <row r="118" spans="2:2" ht="15.6" x14ac:dyDescent="0.3">
      <c r="B118" s="2"/>
    </row>
    <row r="119" spans="2:2" ht="15.6" x14ac:dyDescent="0.3">
      <c r="B119" s="2"/>
    </row>
    <row r="120" spans="2:2" ht="15.6" x14ac:dyDescent="0.3">
      <c r="B120" s="2"/>
    </row>
    <row r="121" spans="2:2" ht="15.6" x14ac:dyDescent="0.3">
      <c r="B121" s="2"/>
    </row>
    <row r="122" spans="2:2" ht="15.6" x14ac:dyDescent="0.3">
      <c r="B122" s="2"/>
    </row>
    <row r="123" spans="2:2" ht="15.6" x14ac:dyDescent="0.3">
      <c r="B123" s="2"/>
    </row>
    <row r="124" spans="2:2" ht="15.6" x14ac:dyDescent="0.3">
      <c r="B124" s="2"/>
    </row>
    <row r="125" spans="2:2" ht="15.6" x14ac:dyDescent="0.3">
      <c r="B125" s="2"/>
    </row>
    <row r="126" spans="2:2" ht="15.6" x14ac:dyDescent="0.3">
      <c r="B126" s="1"/>
    </row>
    <row r="127" spans="2:2" ht="15.6" x14ac:dyDescent="0.3">
      <c r="B127" s="1"/>
    </row>
    <row r="128" spans="2:2" ht="15.6" x14ac:dyDescent="0.3">
      <c r="B128" s="1"/>
    </row>
    <row r="129" spans="2:2" ht="15.6" x14ac:dyDescent="0.3">
      <c r="B129" s="1"/>
    </row>
    <row r="130" spans="2:2" ht="15.6" x14ac:dyDescent="0.3">
      <c r="B130" s="1"/>
    </row>
    <row r="131" spans="2:2" ht="15.6" x14ac:dyDescent="0.3">
      <c r="B131" s="1"/>
    </row>
    <row r="132" spans="2:2" ht="15.6" x14ac:dyDescent="0.3">
      <c r="B132" s="1"/>
    </row>
    <row r="133" spans="2:2" ht="15.6" x14ac:dyDescent="0.3">
      <c r="B133" s="1"/>
    </row>
    <row r="134" spans="2:2" ht="15.6" x14ac:dyDescent="0.3">
      <c r="B134" s="1"/>
    </row>
    <row r="135" spans="2:2" ht="15.6" x14ac:dyDescent="0.3">
      <c r="B135" s="1"/>
    </row>
    <row r="136" spans="2:2" ht="15.6" x14ac:dyDescent="0.3">
      <c r="B136" s="1"/>
    </row>
    <row r="137" spans="2:2" ht="15.6" x14ac:dyDescent="0.3">
      <c r="B137" s="1"/>
    </row>
    <row r="138" spans="2:2" ht="15.6" x14ac:dyDescent="0.3">
      <c r="B138" s="1"/>
    </row>
    <row r="139" spans="2:2" ht="15.6" x14ac:dyDescent="0.3">
      <c r="B139" s="1"/>
    </row>
    <row r="140" spans="2:2" ht="15.6" x14ac:dyDescent="0.3">
      <c r="B140" s="1"/>
    </row>
    <row r="141" spans="2:2" ht="15.6" x14ac:dyDescent="0.3">
      <c r="B141" s="1"/>
    </row>
    <row r="142" spans="2:2" ht="15.6" x14ac:dyDescent="0.3">
      <c r="B142" s="1"/>
    </row>
    <row r="143" spans="2:2" ht="15.6" x14ac:dyDescent="0.3">
      <c r="B143" s="1"/>
    </row>
    <row r="144" spans="2:2" ht="15.6" x14ac:dyDescent="0.3">
      <c r="B144" s="1"/>
    </row>
    <row r="145" spans="2:2" ht="15.6" x14ac:dyDescent="0.3">
      <c r="B145" s="1"/>
    </row>
    <row r="146" spans="2:2" ht="15.6" x14ac:dyDescent="0.3">
      <c r="B146" s="1"/>
    </row>
    <row r="147" spans="2:2" ht="15.6" x14ac:dyDescent="0.3">
      <c r="B147" s="1"/>
    </row>
    <row r="148" spans="2:2" ht="15.6" x14ac:dyDescent="0.3">
      <c r="B148" s="1"/>
    </row>
    <row r="149" spans="2:2" ht="15.6" x14ac:dyDescent="0.3">
      <c r="B149" s="1"/>
    </row>
    <row r="150" spans="2:2" ht="15.6" x14ac:dyDescent="0.3">
      <c r="B150" s="1"/>
    </row>
    <row r="151" spans="2:2" ht="15.6" x14ac:dyDescent="0.3">
      <c r="B151" s="1"/>
    </row>
    <row r="152" spans="2:2" ht="15.6" x14ac:dyDescent="0.3">
      <c r="B152" s="1"/>
    </row>
    <row r="153" spans="2:2" ht="15.6" x14ac:dyDescent="0.3">
      <c r="B153" s="1"/>
    </row>
    <row r="154" spans="2:2" ht="15.6" x14ac:dyDescent="0.3">
      <c r="B154" s="1"/>
    </row>
    <row r="155" spans="2:2" ht="15.6" x14ac:dyDescent="0.3">
      <c r="B155" s="1"/>
    </row>
    <row r="156" spans="2:2" ht="15.6" x14ac:dyDescent="0.3">
      <c r="B156" s="1"/>
    </row>
    <row r="157" spans="2:2" ht="15.6" x14ac:dyDescent="0.3">
      <c r="B157" s="1"/>
    </row>
    <row r="158" spans="2:2" ht="15.6" x14ac:dyDescent="0.3">
      <c r="B158" s="1"/>
    </row>
    <row r="159" spans="2:2" ht="15.6" x14ac:dyDescent="0.3">
      <c r="B159" s="1"/>
    </row>
    <row r="160" spans="2:2" ht="15.6" x14ac:dyDescent="0.3">
      <c r="B160" s="1"/>
    </row>
    <row r="161" spans="2:2" ht="15.6" x14ac:dyDescent="0.3">
      <c r="B161" s="1"/>
    </row>
    <row r="162" spans="2:2" ht="15.6" x14ac:dyDescent="0.3">
      <c r="B162" s="1"/>
    </row>
    <row r="163" spans="2:2" ht="15.6" x14ac:dyDescent="0.3">
      <c r="B163" s="1"/>
    </row>
    <row r="164" spans="2:2" ht="15.6" x14ac:dyDescent="0.3">
      <c r="B164" s="1"/>
    </row>
    <row r="165" spans="2:2" ht="15.6" x14ac:dyDescent="0.3">
      <c r="B165" s="1"/>
    </row>
    <row r="166" spans="2:2" ht="15.6" x14ac:dyDescent="0.3">
      <c r="B166" s="1"/>
    </row>
    <row r="167" spans="2:2" ht="15.6" x14ac:dyDescent="0.3">
      <c r="B167" s="1"/>
    </row>
    <row r="168" spans="2:2" ht="15.6" x14ac:dyDescent="0.3">
      <c r="B168" s="1"/>
    </row>
    <row r="169" spans="2:2" ht="15.6" x14ac:dyDescent="0.3">
      <c r="B169" s="1"/>
    </row>
    <row r="170" spans="2:2" ht="15.6" x14ac:dyDescent="0.3">
      <c r="B170" s="1"/>
    </row>
    <row r="171" spans="2:2" ht="15.6" x14ac:dyDescent="0.3">
      <c r="B171" s="1"/>
    </row>
    <row r="172" spans="2:2" ht="15.6" x14ac:dyDescent="0.3">
      <c r="B172" s="1"/>
    </row>
    <row r="173" spans="2:2" ht="15.6" x14ac:dyDescent="0.3">
      <c r="B173" s="1"/>
    </row>
    <row r="174" spans="2:2" ht="15.6" x14ac:dyDescent="0.3">
      <c r="B174" s="1"/>
    </row>
    <row r="175" spans="2:2" ht="15.6" x14ac:dyDescent="0.3">
      <c r="B175" s="1"/>
    </row>
    <row r="176" spans="2:2" ht="15.6" x14ac:dyDescent="0.3">
      <c r="B176" s="1"/>
    </row>
    <row r="177" spans="2:2" ht="15.6" x14ac:dyDescent="0.3">
      <c r="B177" s="1"/>
    </row>
    <row r="178" spans="2:2" ht="15.6" x14ac:dyDescent="0.3">
      <c r="B178" s="1"/>
    </row>
    <row r="179" spans="2:2" ht="15.6" x14ac:dyDescent="0.3">
      <c r="B179" s="1"/>
    </row>
    <row r="180" spans="2:2" ht="15.6" x14ac:dyDescent="0.3">
      <c r="B180" s="1"/>
    </row>
    <row r="181" spans="2:2" ht="15.6" x14ac:dyDescent="0.3">
      <c r="B181" s="1"/>
    </row>
    <row r="182" spans="2:2" ht="15.6" x14ac:dyDescent="0.3">
      <c r="B182" s="1"/>
    </row>
    <row r="183" spans="2:2" ht="15.6" x14ac:dyDescent="0.3">
      <c r="B183" s="1"/>
    </row>
    <row r="184" spans="2:2" ht="15.6" x14ac:dyDescent="0.3">
      <c r="B184" s="1"/>
    </row>
    <row r="185" spans="2:2" ht="15.6" x14ac:dyDescent="0.3">
      <c r="B185" s="1"/>
    </row>
    <row r="186" spans="2:2" ht="15.6" x14ac:dyDescent="0.3">
      <c r="B186" s="1"/>
    </row>
    <row r="187" spans="2:2" ht="15.6" x14ac:dyDescent="0.3">
      <c r="B187" s="1"/>
    </row>
    <row r="188" spans="2:2" ht="15.6" x14ac:dyDescent="0.3">
      <c r="B188" s="1"/>
    </row>
    <row r="189" spans="2:2" ht="15.6" x14ac:dyDescent="0.3">
      <c r="B189" s="1"/>
    </row>
    <row r="190" spans="2:2" ht="15.6" x14ac:dyDescent="0.3">
      <c r="B190" s="1"/>
    </row>
    <row r="191" spans="2:2" ht="15.6" x14ac:dyDescent="0.3">
      <c r="B191" s="1"/>
    </row>
    <row r="192" spans="2:2" ht="15.6" x14ac:dyDescent="0.3">
      <c r="B192" s="1"/>
    </row>
    <row r="193" spans="2:2" ht="15.6" x14ac:dyDescent="0.3">
      <c r="B193" s="1"/>
    </row>
    <row r="194" spans="2:2" ht="15.6" x14ac:dyDescent="0.3">
      <c r="B194" s="1"/>
    </row>
    <row r="195" spans="2:2" ht="15.6" x14ac:dyDescent="0.3">
      <c r="B195" s="1"/>
    </row>
    <row r="196" spans="2:2" ht="15.6" x14ac:dyDescent="0.3">
      <c r="B196" s="1"/>
    </row>
    <row r="197" spans="2:2" ht="15.6" x14ac:dyDescent="0.3">
      <c r="B197" s="1"/>
    </row>
    <row r="198" spans="2:2" ht="15.6" x14ac:dyDescent="0.3">
      <c r="B198" s="1"/>
    </row>
    <row r="199" spans="2:2" ht="15.6" x14ac:dyDescent="0.3">
      <c r="B199" s="1"/>
    </row>
    <row r="200" spans="2:2" ht="15.6" x14ac:dyDescent="0.3">
      <c r="B200" s="1"/>
    </row>
    <row r="201" spans="2:2" ht="15.6" x14ac:dyDescent="0.3">
      <c r="B201" s="1"/>
    </row>
    <row r="202" spans="2:2" ht="15.6" x14ac:dyDescent="0.3">
      <c r="B202" s="1"/>
    </row>
    <row r="203" spans="2:2" ht="15.6" x14ac:dyDescent="0.3">
      <c r="B203" s="1"/>
    </row>
    <row r="204" spans="2:2" ht="15.6" x14ac:dyDescent="0.3">
      <c r="B204" s="1"/>
    </row>
    <row r="205" spans="2:2" ht="15.6" x14ac:dyDescent="0.3">
      <c r="B205" s="1"/>
    </row>
    <row r="206" spans="2:2" ht="15.6" x14ac:dyDescent="0.3">
      <c r="B206" s="1"/>
    </row>
    <row r="207" spans="2:2" ht="15.6" x14ac:dyDescent="0.3">
      <c r="B207" s="1"/>
    </row>
    <row r="208" spans="2:2" ht="15.6" x14ac:dyDescent="0.3">
      <c r="B208" s="1"/>
    </row>
    <row r="209" spans="2:2" ht="15.6" x14ac:dyDescent="0.3">
      <c r="B209" s="1"/>
    </row>
    <row r="210" spans="2:2" ht="15.6" x14ac:dyDescent="0.3">
      <c r="B210" s="1"/>
    </row>
    <row r="211" spans="2:2" ht="15.6" x14ac:dyDescent="0.3">
      <c r="B211" s="1"/>
    </row>
    <row r="212" spans="2:2" ht="15.6" x14ac:dyDescent="0.3">
      <c r="B212" s="1"/>
    </row>
    <row r="213" spans="2:2" ht="15.6" x14ac:dyDescent="0.3">
      <c r="B213" s="1"/>
    </row>
    <row r="214" spans="2:2" ht="15.6" x14ac:dyDescent="0.3">
      <c r="B214" s="1"/>
    </row>
    <row r="215" spans="2:2" ht="15.6" x14ac:dyDescent="0.3">
      <c r="B215" s="1"/>
    </row>
    <row r="216" spans="2:2" ht="15.6" x14ac:dyDescent="0.3">
      <c r="B216" s="1"/>
    </row>
    <row r="217" spans="2:2" ht="15.6" x14ac:dyDescent="0.3">
      <c r="B217" s="1"/>
    </row>
    <row r="218" spans="2:2" ht="15.6" x14ac:dyDescent="0.3">
      <c r="B218" s="1"/>
    </row>
    <row r="219" spans="2:2" ht="15.6" x14ac:dyDescent="0.3">
      <c r="B219" s="1"/>
    </row>
    <row r="220" spans="2:2" ht="15.6" x14ac:dyDescent="0.3">
      <c r="B220" s="1"/>
    </row>
    <row r="221" spans="2:2" ht="15.6" x14ac:dyDescent="0.3">
      <c r="B221" s="1"/>
    </row>
    <row r="222" spans="2:2" ht="15.6" x14ac:dyDescent="0.3">
      <c r="B222" s="1"/>
    </row>
    <row r="223" spans="2:2" ht="15.6" x14ac:dyDescent="0.3">
      <c r="B223" s="1"/>
    </row>
    <row r="224" spans="2:2" ht="15.6" x14ac:dyDescent="0.3">
      <c r="B224" s="1"/>
    </row>
    <row r="225" spans="2:2" ht="15.6" x14ac:dyDescent="0.3">
      <c r="B225" s="1"/>
    </row>
    <row r="226" spans="2:2" ht="15.6" x14ac:dyDescent="0.3">
      <c r="B226" s="1"/>
    </row>
    <row r="227" spans="2:2" ht="15.6" x14ac:dyDescent="0.3">
      <c r="B227" s="1"/>
    </row>
    <row r="228" spans="2:2" ht="15.6" x14ac:dyDescent="0.3">
      <c r="B228" s="1"/>
    </row>
    <row r="229" spans="2:2" ht="15.6" x14ac:dyDescent="0.3">
      <c r="B229" s="1"/>
    </row>
    <row r="230" spans="2:2" ht="15.6" x14ac:dyDescent="0.3">
      <c r="B230" s="1"/>
    </row>
    <row r="231" spans="2:2" ht="15.6" x14ac:dyDescent="0.3">
      <c r="B231" s="1"/>
    </row>
    <row r="232" spans="2:2" ht="15.6" x14ac:dyDescent="0.3">
      <c r="B232" s="1"/>
    </row>
    <row r="233" spans="2:2" ht="15.6" x14ac:dyDescent="0.3">
      <c r="B233" s="1"/>
    </row>
    <row r="234" spans="2:2" ht="15.6" x14ac:dyDescent="0.3">
      <c r="B234" s="1"/>
    </row>
    <row r="235" spans="2:2" ht="15.6" x14ac:dyDescent="0.3">
      <c r="B235" s="1"/>
    </row>
    <row r="236" spans="2:2" ht="15.6" x14ac:dyDescent="0.3">
      <c r="B236" s="1"/>
    </row>
    <row r="237" spans="2:2" ht="15.6" x14ac:dyDescent="0.3">
      <c r="B237" s="1"/>
    </row>
    <row r="238" spans="2:2" ht="15.6" x14ac:dyDescent="0.3">
      <c r="B238" s="1"/>
    </row>
    <row r="239" spans="2:2" ht="15.6" x14ac:dyDescent="0.3">
      <c r="B239" s="1"/>
    </row>
    <row r="240" spans="2:2" ht="15.6" x14ac:dyDescent="0.3">
      <c r="B240" s="1"/>
    </row>
    <row r="241" spans="2:2" ht="15.6" x14ac:dyDescent="0.3">
      <c r="B241" s="1"/>
    </row>
    <row r="242" spans="2:2" ht="15.6" x14ac:dyDescent="0.3">
      <c r="B242" s="1"/>
    </row>
    <row r="243" spans="2:2" ht="15.6" x14ac:dyDescent="0.3">
      <c r="B243" s="1"/>
    </row>
    <row r="244" spans="2:2" ht="15.6" x14ac:dyDescent="0.3">
      <c r="B244" s="1"/>
    </row>
    <row r="245" spans="2:2" ht="15.6" x14ac:dyDescent="0.3">
      <c r="B245" s="1"/>
    </row>
    <row r="246" spans="2:2" ht="15.6" x14ac:dyDescent="0.3">
      <c r="B246" s="1"/>
    </row>
    <row r="247" spans="2:2" ht="15.6" x14ac:dyDescent="0.3">
      <c r="B247" s="1"/>
    </row>
    <row r="248" spans="2:2" ht="15.6" x14ac:dyDescent="0.3">
      <c r="B248" s="1"/>
    </row>
    <row r="249" spans="2:2" ht="15.6" x14ac:dyDescent="0.3">
      <c r="B249" s="1"/>
    </row>
    <row r="250" spans="2:2" ht="15.6" x14ac:dyDescent="0.3">
      <c r="B250" s="1"/>
    </row>
    <row r="251" spans="2:2" ht="15.6" x14ac:dyDescent="0.3">
      <c r="B251" s="1"/>
    </row>
    <row r="252" spans="2:2" ht="15.6" x14ac:dyDescent="0.3">
      <c r="B252" s="1"/>
    </row>
    <row r="253" spans="2:2" ht="15.6" x14ac:dyDescent="0.3">
      <c r="B253" s="1"/>
    </row>
  </sheetData>
  <mergeCells count="14">
    <mergeCell ref="B57:C57"/>
    <mergeCell ref="B63:C63"/>
    <mergeCell ref="B30:C30"/>
    <mergeCell ref="B35:C35"/>
    <mergeCell ref="B41:C41"/>
    <mergeCell ref="B42:C42"/>
    <mergeCell ref="B47:C47"/>
    <mergeCell ref="B52:C52"/>
    <mergeCell ref="B25:C25"/>
    <mergeCell ref="B7:C7"/>
    <mergeCell ref="B8:C8"/>
    <mergeCell ref="B13:C13"/>
    <mergeCell ref="B19:C19"/>
    <mergeCell ref="B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22A2-9C43-45E4-A7C7-08A753B3DD26}">
  <dimension ref="B2:D253"/>
  <sheetViews>
    <sheetView topLeftCell="A47" zoomScale="90" zoomScaleNormal="90" workbookViewId="0">
      <selection activeCell="E37" sqref="E37"/>
    </sheetView>
  </sheetViews>
  <sheetFormatPr baseColWidth="10" defaultRowHeight="14.4" x14ac:dyDescent="0.3"/>
  <cols>
    <col min="2" max="2" width="143.109375" bestFit="1" customWidth="1"/>
  </cols>
  <sheetData>
    <row r="2" spans="2:4" ht="15.6" x14ac:dyDescent="0.3">
      <c r="B2" s="2" t="s">
        <v>67</v>
      </c>
    </row>
    <row r="3" spans="2:4" ht="16.2" thickBot="1" x14ac:dyDescent="0.35">
      <c r="B3" s="2" t="s">
        <v>68</v>
      </c>
    </row>
    <row r="4" spans="2:4" ht="16.2" thickBot="1" x14ac:dyDescent="0.35">
      <c r="B4" s="9" t="s">
        <v>61</v>
      </c>
      <c r="C4" s="7">
        <f>((C18+C40+C62+C68)/0.8)*20</f>
        <v>15.999999999999998</v>
      </c>
    </row>
    <row r="6" spans="2:4" ht="15" thickBot="1" x14ac:dyDescent="0.35"/>
    <row r="7" spans="2:4" ht="18.600000000000001" thickBot="1" x14ac:dyDescent="0.4">
      <c r="B7" s="16" t="s">
        <v>0</v>
      </c>
      <c r="C7" s="17"/>
    </row>
    <row r="8" spans="2:4" ht="15.6" x14ac:dyDescent="0.3">
      <c r="B8" s="18" t="s">
        <v>1</v>
      </c>
      <c r="C8" s="19"/>
    </row>
    <row r="9" spans="2:4" ht="15.6" x14ac:dyDescent="0.3">
      <c r="B9" s="4" t="s">
        <v>3</v>
      </c>
      <c r="C9" s="3"/>
      <c r="D9" s="13">
        <f>IF(C9=1,0.15,0)</f>
        <v>0</v>
      </c>
    </row>
    <row r="10" spans="2:4" ht="15.6" x14ac:dyDescent="0.3">
      <c r="B10" s="4" t="s">
        <v>4</v>
      </c>
      <c r="C10" s="3">
        <v>1</v>
      </c>
      <c r="D10" s="13">
        <f>IF(C10=1,0.1,0)</f>
        <v>0.1</v>
      </c>
    </row>
    <row r="11" spans="2:4" ht="15.6" x14ac:dyDescent="0.3">
      <c r="B11" s="4" t="s">
        <v>5</v>
      </c>
      <c r="C11" s="3"/>
      <c r="D11" s="13">
        <f>IF(C11=1,0.05,0)</f>
        <v>0</v>
      </c>
    </row>
    <row r="12" spans="2:4" ht="15.6" x14ac:dyDescent="0.3">
      <c r="B12" s="4" t="s">
        <v>6</v>
      </c>
      <c r="C12" s="3"/>
      <c r="D12" s="13">
        <v>0</v>
      </c>
    </row>
    <row r="13" spans="2:4" ht="15.6" x14ac:dyDescent="0.3">
      <c r="B13" s="14" t="s">
        <v>2</v>
      </c>
      <c r="C13" s="15"/>
      <c r="D13" s="13"/>
    </row>
    <row r="14" spans="2:4" ht="15.6" x14ac:dyDescent="0.3">
      <c r="B14" s="4" t="s">
        <v>7</v>
      </c>
      <c r="C14" s="3"/>
      <c r="D14" s="13">
        <f>IF(C14=1,0.1,0)</f>
        <v>0</v>
      </c>
    </row>
    <row r="15" spans="2:4" ht="15.6" x14ac:dyDescent="0.3">
      <c r="B15" s="4" t="s">
        <v>8</v>
      </c>
      <c r="C15" s="3">
        <v>1</v>
      </c>
      <c r="D15" s="13">
        <f>IF(C15=1,0.07,0)</f>
        <v>7.0000000000000007E-2</v>
      </c>
    </row>
    <row r="16" spans="2:4" ht="15.6" x14ac:dyDescent="0.3">
      <c r="B16" s="4" t="s">
        <v>9</v>
      </c>
      <c r="C16" s="3"/>
      <c r="D16" s="13">
        <f>IF(C16=1,0.03,0)</f>
        <v>0</v>
      </c>
    </row>
    <row r="17" spans="2:4" ht="16.2" thickBot="1" x14ac:dyDescent="0.35">
      <c r="B17" s="4" t="s">
        <v>10</v>
      </c>
      <c r="C17" s="5"/>
      <c r="D17" s="13">
        <v>0</v>
      </c>
    </row>
    <row r="18" spans="2:4" ht="16.2" thickBot="1" x14ac:dyDescent="0.35">
      <c r="B18" s="6" t="s">
        <v>58</v>
      </c>
      <c r="C18" s="7">
        <f>SUM(D9:D17)</f>
        <v>0.17</v>
      </c>
      <c r="D18" s="13"/>
    </row>
    <row r="19" spans="2:4" ht="18.600000000000001" thickBot="1" x14ac:dyDescent="0.4">
      <c r="B19" s="20" t="s">
        <v>27</v>
      </c>
      <c r="C19" s="21"/>
    </row>
    <row r="20" spans="2:4" ht="15.6" x14ac:dyDescent="0.3">
      <c r="B20" s="22" t="s">
        <v>28</v>
      </c>
      <c r="C20" s="23"/>
    </row>
    <row r="21" spans="2:4" ht="15.6" x14ac:dyDescent="0.3">
      <c r="B21" s="4" t="s">
        <v>11</v>
      </c>
      <c r="C21" s="3">
        <v>1</v>
      </c>
      <c r="D21" s="13">
        <f>IF(C21=1,0.05,0)</f>
        <v>0.05</v>
      </c>
    </row>
    <row r="22" spans="2:4" ht="15.6" x14ac:dyDescent="0.3">
      <c r="B22" s="4" t="s">
        <v>12</v>
      </c>
      <c r="C22" s="3"/>
      <c r="D22" s="13">
        <f>IF(C22=1,0.03,0)</f>
        <v>0</v>
      </c>
    </row>
    <row r="23" spans="2:4" ht="15.6" x14ac:dyDescent="0.3">
      <c r="B23" s="4" t="s">
        <v>13</v>
      </c>
      <c r="C23" s="3"/>
      <c r="D23" s="13">
        <f>IF(C23=1,0.01,0)</f>
        <v>0</v>
      </c>
    </row>
    <row r="24" spans="2:4" ht="15.6" x14ac:dyDescent="0.3">
      <c r="B24" s="4" t="s">
        <v>14</v>
      </c>
      <c r="C24" s="3"/>
      <c r="D24" s="13">
        <v>0</v>
      </c>
    </row>
    <row r="25" spans="2:4" ht="15.6" x14ac:dyDescent="0.3">
      <c r="B25" s="14" t="s">
        <v>29</v>
      </c>
      <c r="C25" s="15"/>
      <c r="D25" s="13"/>
    </row>
    <row r="26" spans="2:4" ht="15.6" x14ac:dyDescent="0.3">
      <c r="B26" s="4" t="s">
        <v>15</v>
      </c>
      <c r="C26" s="3">
        <v>1</v>
      </c>
      <c r="D26" s="13">
        <f>IF(C26=1,0.05,0)</f>
        <v>0.05</v>
      </c>
    </row>
    <row r="27" spans="2:4" ht="15.6" x14ac:dyDescent="0.3">
      <c r="B27" s="4" t="s">
        <v>16</v>
      </c>
      <c r="C27" s="3"/>
      <c r="D27" s="13">
        <f>IF(C27=1,0.03,0)</f>
        <v>0</v>
      </c>
    </row>
    <row r="28" spans="2:4" ht="15.6" x14ac:dyDescent="0.3">
      <c r="B28" s="4" t="s">
        <v>17</v>
      </c>
      <c r="C28" s="3"/>
      <c r="D28" s="13">
        <f>IF(C28=1,0.01,0)</f>
        <v>0</v>
      </c>
    </row>
    <row r="29" spans="2:4" ht="15.6" x14ac:dyDescent="0.3">
      <c r="B29" s="4" t="s">
        <v>18</v>
      </c>
      <c r="C29" s="3"/>
      <c r="D29" s="13">
        <v>0</v>
      </c>
    </row>
    <row r="30" spans="2:4" ht="15.6" x14ac:dyDescent="0.3">
      <c r="B30" s="14" t="s">
        <v>30</v>
      </c>
      <c r="C30" s="15"/>
      <c r="D30" s="13"/>
    </row>
    <row r="31" spans="2:4" ht="15.6" x14ac:dyDescent="0.3">
      <c r="B31" s="4" t="s">
        <v>19</v>
      </c>
      <c r="C31" s="3"/>
      <c r="D31" s="13">
        <f>IF(C31=1,0.05,0)</f>
        <v>0</v>
      </c>
    </row>
    <row r="32" spans="2:4" ht="15.6" x14ac:dyDescent="0.3">
      <c r="B32" s="4" t="s">
        <v>20</v>
      </c>
      <c r="C32" s="3">
        <v>1</v>
      </c>
      <c r="D32" s="13">
        <f>IF(C32=1,0.03,0)</f>
        <v>0.03</v>
      </c>
    </row>
    <row r="33" spans="2:4" ht="15.6" x14ac:dyDescent="0.3">
      <c r="B33" s="4" t="s">
        <v>21</v>
      </c>
      <c r="C33" s="3"/>
      <c r="D33" s="13">
        <f>IF(C33=1,0.01,0)</f>
        <v>0</v>
      </c>
    </row>
    <row r="34" spans="2:4" ht="15.6" x14ac:dyDescent="0.3">
      <c r="B34" s="4" t="s">
        <v>22</v>
      </c>
      <c r="C34" s="3"/>
      <c r="D34" s="13">
        <v>0</v>
      </c>
    </row>
    <row r="35" spans="2:4" ht="15.6" x14ac:dyDescent="0.3">
      <c r="B35" s="14" t="s">
        <v>31</v>
      </c>
      <c r="C35" s="15"/>
      <c r="D35" s="13"/>
    </row>
    <row r="36" spans="2:4" ht="15.6" x14ac:dyDescent="0.3">
      <c r="B36" s="4" t="s">
        <v>23</v>
      </c>
      <c r="C36" s="3">
        <v>1</v>
      </c>
      <c r="D36" s="13">
        <f>IF(C36=1,0.05,0)</f>
        <v>0.05</v>
      </c>
    </row>
    <row r="37" spans="2:4" ht="15.6" x14ac:dyDescent="0.3">
      <c r="B37" s="4" t="s">
        <v>24</v>
      </c>
      <c r="C37" s="3"/>
      <c r="D37" s="13">
        <f>IF(C37=1,0.03,0)</f>
        <v>0</v>
      </c>
    </row>
    <row r="38" spans="2:4" ht="15.6" x14ac:dyDescent="0.3">
      <c r="B38" s="4" t="s">
        <v>25</v>
      </c>
      <c r="C38" s="3"/>
      <c r="D38" s="13">
        <f>IF(C38=1,0.01,0)</f>
        <v>0</v>
      </c>
    </row>
    <row r="39" spans="2:4" ht="16.2" thickBot="1" x14ac:dyDescent="0.35">
      <c r="B39" s="4" t="s">
        <v>26</v>
      </c>
      <c r="C39" s="5"/>
      <c r="D39" s="13">
        <v>0</v>
      </c>
    </row>
    <row r="40" spans="2:4" ht="16.2" thickBot="1" x14ac:dyDescent="0.35">
      <c r="B40" s="6" t="s">
        <v>58</v>
      </c>
      <c r="C40" s="10">
        <f>SUM(D21:D39)</f>
        <v>0.18</v>
      </c>
      <c r="D40" s="13"/>
    </row>
    <row r="41" spans="2:4" ht="18.600000000000001" thickBot="1" x14ac:dyDescent="0.4">
      <c r="B41" s="20" t="s">
        <v>48</v>
      </c>
      <c r="C41" s="21"/>
    </row>
    <row r="42" spans="2:4" ht="15.6" x14ac:dyDescent="0.3">
      <c r="B42" s="22" t="s">
        <v>49</v>
      </c>
      <c r="C42" s="23"/>
    </row>
    <row r="43" spans="2:4" ht="15.6" x14ac:dyDescent="0.3">
      <c r="B43" s="4" t="s">
        <v>32</v>
      </c>
      <c r="C43" s="3">
        <v>1</v>
      </c>
      <c r="D43" s="13">
        <f>IF(C43=1,0.05,0)</f>
        <v>0.05</v>
      </c>
    </row>
    <row r="44" spans="2:4" ht="15.6" x14ac:dyDescent="0.3">
      <c r="B44" s="4" t="s">
        <v>33</v>
      </c>
      <c r="C44" s="3"/>
      <c r="D44" s="13">
        <f>IF(C44=1,0.03,0)</f>
        <v>0</v>
      </c>
    </row>
    <row r="45" spans="2:4" ht="15.6" x14ac:dyDescent="0.3">
      <c r="B45" s="4" t="s">
        <v>34</v>
      </c>
      <c r="C45" s="3"/>
      <c r="D45" s="13">
        <f>IF(C45=1,0.01,0)</f>
        <v>0</v>
      </c>
    </row>
    <row r="46" spans="2:4" ht="15.6" x14ac:dyDescent="0.3">
      <c r="B46" s="4" t="s">
        <v>35</v>
      </c>
      <c r="C46" s="3"/>
      <c r="D46" s="13">
        <v>0</v>
      </c>
    </row>
    <row r="47" spans="2:4" ht="15.6" x14ac:dyDescent="0.3">
      <c r="B47" s="14" t="s">
        <v>50</v>
      </c>
      <c r="C47" s="15"/>
    </row>
    <row r="48" spans="2:4" ht="15.6" x14ac:dyDescent="0.3">
      <c r="B48" s="4" t="s">
        <v>36</v>
      </c>
      <c r="C48" s="3"/>
      <c r="D48" s="13">
        <f>IF(C48=1,0.05,0)</f>
        <v>0</v>
      </c>
    </row>
    <row r="49" spans="2:4" ht="15.6" x14ac:dyDescent="0.3">
      <c r="B49" s="4" t="s">
        <v>37</v>
      </c>
      <c r="C49" s="3">
        <v>1</v>
      </c>
      <c r="D49" s="13">
        <f>IF(C49=1,0.03,0)</f>
        <v>0.03</v>
      </c>
    </row>
    <row r="50" spans="2:4" ht="15.6" x14ac:dyDescent="0.3">
      <c r="B50" s="4" t="s">
        <v>38</v>
      </c>
      <c r="C50" s="3"/>
      <c r="D50" s="13">
        <f>IF(C50=1,0.01,0)</f>
        <v>0</v>
      </c>
    </row>
    <row r="51" spans="2:4" ht="15.6" x14ac:dyDescent="0.3">
      <c r="B51" s="4" t="s">
        <v>39</v>
      </c>
      <c r="C51" s="3"/>
      <c r="D51" s="13">
        <v>0</v>
      </c>
    </row>
    <row r="52" spans="2:4" ht="15.6" x14ac:dyDescent="0.3">
      <c r="B52" s="14" t="s">
        <v>51</v>
      </c>
      <c r="C52" s="15"/>
    </row>
    <row r="53" spans="2:4" ht="15.6" x14ac:dyDescent="0.3">
      <c r="B53" s="4" t="s">
        <v>40</v>
      </c>
      <c r="C53" s="3"/>
      <c r="D53" s="13">
        <f>IF(C53=1,0.05,0)</f>
        <v>0</v>
      </c>
    </row>
    <row r="54" spans="2:4" ht="15.6" x14ac:dyDescent="0.3">
      <c r="B54" s="4" t="s">
        <v>41</v>
      </c>
      <c r="C54" s="3">
        <v>1</v>
      </c>
      <c r="D54" s="13">
        <f>IF(C54=1,0.03,0)</f>
        <v>0.03</v>
      </c>
    </row>
    <row r="55" spans="2:4" ht="15.6" x14ac:dyDescent="0.3">
      <c r="B55" s="4" t="s">
        <v>42</v>
      </c>
      <c r="C55" s="3"/>
      <c r="D55" s="13">
        <f>IF(C55=1,0.01,0)</f>
        <v>0</v>
      </c>
    </row>
    <row r="56" spans="2:4" ht="15.6" x14ac:dyDescent="0.3">
      <c r="B56" s="4" t="s">
        <v>43</v>
      </c>
      <c r="C56" s="3"/>
      <c r="D56" s="13">
        <v>0</v>
      </c>
    </row>
    <row r="57" spans="2:4" ht="15.6" x14ac:dyDescent="0.3">
      <c r="B57" s="14" t="s">
        <v>52</v>
      </c>
      <c r="C57" s="15"/>
    </row>
    <row r="58" spans="2:4" ht="15.6" x14ac:dyDescent="0.3">
      <c r="B58" s="4" t="s">
        <v>44</v>
      </c>
      <c r="C58" s="3"/>
      <c r="D58" s="13">
        <f>IF(C58=1,0.05,0)</f>
        <v>0</v>
      </c>
    </row>
    <row r="59" spans="2:4" ht="15.6" x14ac:dyDescent="0.3">
      <c r="B59" s="4" t="s">
        <v>45</v>
      </c>
      <c r="C59" s="3">
        <v>1</v>
      </c>
      <c r="D59" s="13">
        <f>IF(C59=1,0.03,0)</f>
        <v>0.03</v>
      </c>
    </row>
    <row r="60" spans="2:4" ht="15.6" x14ac:dyDescent="0.3">
      <c r="B60" s="4" t="s">
        <v>46</v>
      </c>
      <c r="C60" s="3"/>
      <c r="D60" s="13">
        <f>IF(C60=1,0.01,0)</f>
        <v>0</v>
      </c>
    </row>
    <row r="61" spans="2:4" ht="16.2" thickBot="1" x14ac:dyDescent="0.35">
      <c r="B61" s="4" t="s">
        <v>47</v>
      </c>
      <c r="C61" s="5"/>
      <c r="D61" s="13">
        <v>0</v>
      </c>
    </row>
    <row r="62" spans="2:4" ht="16.2" thickBot="1" x14ac:dyDescent="0.35">
      <c r="B62" s="6" t="s">
        <v>58</v>
      </c>
      <c r="C62" s="10">
        <f>SUM(D43:D61)</f>
        <v>0.14000000000000001</v>
      </c>
    </row>
    <row r="63" spans="2:4" ht="18.600000000000001" thickBot="1" x14ac:dyDescent="0.4">
      <c r="B63" s="20" t="s">
        <v>57</v>
      </c>
      <c r="C63" s="21"/>
    </row>
    <row r="64" spans="2:4" ht="15.6" x14ac:dyDescent="0.3">
      <c r="B64" s="12" t="s">
        <v>53</v>
      </c>
      <c r="C64" s="11">
        <v>1</v>
      </c>
      <c r="D64" s="13">
        <f t="shared" ref="D64" si="0">IF(C64=1,0.15,0)</f>
        <v>0.15</v>
      </c>
    </row>
    <row r="65" spans="2:4" ht="15.6" x14ac:dyDescent="0.3">
      <c r="B65" s="4" t="s">
        <v>54</v>
      </c>
      <c r="C65" s="3"/>
      <c r="D65" s="13">
        <f>IF(C65=1,0.1,0)</f>
        <v>0</v>
      </c>
    </row>
    <row r="66" spans="2:4" ht="15.6" x14ac:dyDescent="0.3">
      <c r="B66" s="4" t="s">
        <v>55</v>
      </c>
      <c r="C66" s="3"/>
      <c r="D66" s="13">
        <f>IF(C66=1,0.05,0)</f>
        <v>0</v>
      </c>
    </row>
    <row r="67" spans="2:4" ht="16.2" thickBot="1" x14ac:dyDescent="0.35">
      <c r="B67" s="4" t="s">
        <v>56</v>
      </c>
      <c r="C67" s="5"/>
      <c r="D67" s="13">
        <v>0</v>
      </c>
    </row>
    <row r="68" spans="2:4" ht="16.2" thickBot="1" x14ac:dyDescent="0.35">
      <c r="B68" s="8" t="s">
        <v>58</v>
      </c>
      <c r="C68" s="7">
        <f>SUM(D64:D67)</f>
        <v>0.15</v>
      </c>
    </row>
    <row r="69" spans="2:4" ht="15.6" x14ac:dyDescent="0.3">
      <c r="B69" s="2"/>
    </row>
    <row r="70" spans="2:4" ht="15.6" x14ac:dyDescent="0.3">
      <c r="B70" s="2"/>
    </row>
    <row r="71" spans="2:4" ht="15.6" x14ac:dyDescent="0.3">
      <c r="B71" s="2"/>
    </row>
    <row r="72" spans="2:4" ht="15.6" x14ac:dyDescent="0.3">
      <c r="B72" s="2"/>
    </row>
    <row r="73" spans="2:4" ht="15.6" x14ac:dyDescent="0.3">
      <c r="B73" s="2"/>
    </row>
    <row r="74" spans="2:4" ht="15.6" x14ac:dyDescent="0.3">
      <c r="B74" s="2"/>
    </row>
    <row r="75" spans="2:4" ht="15.6" x14ac:dyDescent="0.3">
      <c r="B75" s="2"/>
    </row>
    <row r="76" spans="2:4" ht="15.6" x14ac:dyDescent="0.3">
      <c r="B76" s="2"/>
    </row>
    <row r="77" spans="2:4" ht="15.6" x14ac:dyDescent="0.3">
      <c r="B77" s="2"/>
    </row>
    <row r="78" spans="2:4" ht="15.6" x14ac:dyDescent="0.3">
      <c r="B78" s="2"/>
    </row>
    <row r="79" spans="2:4" ht="15.6" x14ac:dyDescent="0.3">
      <c r="B79" s="2"/>
    </row>
    <row r="80" spans="2:4" ht="15.6" x14ac:dyDescent="0.3">
      <c r="B80" s="2"/>
    </row>
    <row r="81" spans="2:2" ht="15.6" x14ac:dyDescent="0.3">
      <c r="B81" s="2"/>
    </row>
    <row r="82" spans="2:2" ht="15.6" x14ac:dyDescent="0.3">
      <c r="B82" s="2"/>
    </row>
    <row r="83" spans="2:2" ht="15.6" x14ac:dyDescent="0.3">
      <c r="B83" s="2"/>
    </row>
    <row r="84" spans="2:2" ht="15.6" x14ac:dyDescent="0.3">
      <c r="B84" s="2"/>
    </row>
    <row r="85" spans="2:2" ht="15.6" x14ac:dyDescent="0.3">
      <c r="B85" s="2"/>
    </row>
    <row r="86" spans="2:2" ht="15.6" x14ac:dyDescent="0.3">
      <c r="B86" s="2"/>
    </row>
    <row r="87" spans="2:2" ht="15.6" x14ac:dyDescent="0.3">
      <c r="B87" s="2"/>
    </row>
    <row r="88" spans="2:2" ht="15.6" x14ac:dyDescent="0.3">
      <c r="B88" s="2"/>
    </row>
    <row r="89" spans="2:2" ht="15.6" x14ac:dyDescent="0.3">
      <c r="B89" s="2"/>
    </row>
    <row r="90" spans="2:2" ht="15.6" x14ac:dyDescent="0.3">
      <c r="B90" s="2"/>
    </row>
    <row r="91" spans="2:2" ht="15.6" x14ac:dyDescent="0.3">
      <c r="B91" s="2"/>
    </row>
    <row r="92" spans="2:2" ht="15.6" x14ac:dyDescent="0.3">
      <c r="B92" s="2"/>
    </row>
    <row r="93" spans="2:2" ht="15.6" x14ac:dyDescent="0.3">
      <c r="B93" s="2"/>
    </row>
    <row r="94" spans="2:2" ht="15.6" x14ac:dyDescent="0.3">
      <c r="B94" s="2"/>
    </row>
    <row r="95" spans="2:2" ht="15.6" x14ac:dyDescent="0.3">
      <c r="B95" s="2"/>
    </row>
    <row r="96" spans="2:2" ht="15.6" x14ac:dyDescent="0.3">
      <c r="B96" s="2"/>
    </row>
    <row r="97" spans="2:2" ht="15.6" x14ac:dyDescent="0.3">
      <c r="B97" s="2"/>
    </row>
    <row r="98" spans="2:2" ht="15.6" x14ac:dyDescent="0.3">
      <c r="B98" s="2"/>
    </row>
    <row r="99" spans="2:2" ht="15.6" x14ac:dyDescent="0.3">
      <c r="B99" s="2"/>
    </row>
    <row r="100" spans="2:2" ht="15.6" x14ac:dyDescent="0.3">
      <c r="B100" s="2"/>
    </row>
    <row r="101" spans="2:2" ht="15.6" x14ac:dyDescent="0.3">
      <c r="B101" s="2"/>
    </row>
    <row r="102" spans="2:2" ht="15.6" x14ac:dyDescent="0.3">
      <c r="B102" s="2"/>
    </row>
    <row r="103" spans="2:2" ht="15.6" x14ac:dyDescent="0.3">
      <c r="B103" s="2"/>
    </row>
    <row r="104" spans="2:2" ht="15.6" x14ac:dyDescent="0.3">
      <c r="B104" s="2"/>
    </row>
    <row r="105" spans="2:2" ht="15.6" x14ac:dyDescent="0.3">
      <c r="B105" s="2"/>
    </row>
    <row r="106" spans="2:2" ht="15.6" x14ac:dyDescent="0.3">
      <c r="B106" s="2"/>
    </row>
    <row r="107" spans="2:2" ht="15.6" x14ac:dyDescent="0.3">
      <c r="B107" s="2"/>
    </row>
    <row r="108" spans="2:2" ht="15.6" x14ac:dyDescent="0.3">
      <c r="B108" s="2"/>
    </row>
    <row r="109" spans="2:2" ht="15.6" x14ac:dyDescent="0.3">
      <c r="B109" s="2"/>
    </row>
    <row r="110" spans="2:2" ht="15.6" x14ac:dyDescent="0.3">
      <c r="B110" s="2"/>
    </row>
    <row r="111" spans="2:2" ht="15.6" x14ac:dyDescent="0.3">
      <c r="B111" s="2"/>
    </row>
    <row r="112" spans="2:2" ht="15.6" x14ac:dyDescent="0.3">
      <c r="B112" s="2"/>
    </row>
    <row r="113" spans="2:2" ht="15.6" x14ac:dyDescent="0.3">
      <c r="B113" s="2"/>
    </row>
    <row r="114" spans="2:2" ht="15.6" x14ac:dyDescent="0.3">
      <c r="B114" s="2"/>
    </row>
    <row r="115" spans="2:2" ht="15.6" x14ac:dyDescent="0.3">
      <c r="B115" s="2"/>
    </row>
    <row r="116" spans="2:2" ht="15.6" x14ac:dyDescent="0.3">
      <c r="B116" s="2"/>
    </row>
    <row r="117" spans="2:2" ht="15.6" x14ac:dyDescent="0.3">
      <c r="B117" s="2"/>
    </row>
    <row r="118" spans="2:2" ht="15.6" x14ac:dyDescent="0.3">
      <c r="B118" s="2"/>
    </row>
    <row r="119" spans="2:2" ht="15.6" x14ac:dyDescent="0.3">
      <c r="B119" s="2"/>
    </row>
    <row r="120" spans="2:2" ht="15.6" x14ac:dyDescent="0.3">
      <c r="B120" s="2"/>
    </row>
    <row r="121" spans="2:2" ht="15.6" x14ac:dyDescent="0.3">
      <c r="B121" s="2"/>
    </row>
    <row r="122" spans="2:2" ht="15.6" x14ac:dyDescent="0.3">
      <c r="B122" s="2"/>
    </row>
    <row r="123" spans="2:2" ht="15.6" x14ac:dyDescent="0.3">
      <c r="B123" s="2"/>
    </row>
    <row r="124" spans="2:2" ht="15.6" x14ac:dyDescent="0.3">
      <c r="B124" s="2"/>
    </row>
    <row r="125" spans="2:2" ht="15.6" x14ac:dyDescent="0.3">
      <c r="B125" s="2"/>
    </row>
    <row r="126" spans="2:2" ht="15.6" x14ac:dyDescent="0.3">
      <c r="B126" s="1"/>
    </row>
    <row r="127" spans="2:2" ht="15.6" x14ac:dyDescent="0.3">
      <c r="B127" s="1"/>
    </row>
    <row r="128" spans="2:2" ht="15.6" x14ac:dyDescent="0.3">
      <c r="B128" s="1"/>
    </row>
    <row r="129" spans="2:2" ht="15.6" x14ac:dyDescent="0.3">
      <c r="B129" s="1"/>
    </row>
    <row r="130" spans="2:2" ht="15.6" x14ac:dyDescent="0.3">
      <c r="B130" s="1"/>
    </row>
    <row r="131" spans="2:2" ht="15.6" x14ac:dyDescent="0.3">
      <c r="B131" s="1"/>
    </row>
    <row r="132" spans="2:2" ht="15.6" x14ac:dyDescent="0.3">
      <c r="B132" s="1"/>
    </row>
    <row r="133" spans="2:2" ht="15.6" x14ac:dyDescent="0.3">
      <c r="B133" s="1"/>
    </row>
    <row r="134" spans="2:2" ht="15.6" x14ac:dyDescent="0.3">
      <c r="B134" s="1"/>
    </row>
    <row r="135" spans="2:2" ht="15.6" x14ac:dyDescent="0.3">
      <c r="B135" s="1"/>
    </row>
    <row r="136" spans="2:2" ht="15.6" x14ac:dyDescent="0.3">
      <c r="B136" s="1"/>
    </row>
    <row r="137" spans="2:2" ht="15.6" x14ac:dyDescent="0.3">
      <c r="B137" s="1"/>
    </row>
    <row r="138" spans="2:2" ht="15.6" x14ac:dyDescent="0.3">
      <c r="B138" s="1"/>
    </row>
    <row r="139" spans="2:2" ht="15.6" x14ac:dyDescent="0.3">
      <c r="B139" s="1"/>
    </row>
    <row r="140" spans="2:2" ht="15.6" x14ac:dyDescent="0.3">
      <c r="B140" s="1"/>
    </row>
    <row r="141" spans="2:2" ht="15.6" x14ac:dyDescent="0.3">
      <c r="B141" s="1"/>
    </row>
    <row r="142" spans="2:2" ht="15.6" x14ac:dyDescent="0.3">
      <c r="B142" s="1"/>
    </row>
    <row r="143" spans="2:2" ht="15.6" x14ac:dyDescent="0.3">
      <c r="B143" s="1"/>
    </row>
    <row r="144" spans="2:2" ht="15.6" x14ac:dyDescent="0.3">
      <c r="B144" s="1"/>
    </row>
    <row r="145" spans="2:2" ht="15.6" x14ac:dyDescent="0.3">
      <c r="B145" s="1"/>
    </row>
    <row r="146" spans="2:2" ht="15.6" x14ac:dyDescent="0.3">
      <c r="B146" s="1"/>
    </row>
    <row r="147" spans="2:2" ht="15.6" x14ac:dyDescent="0.3">
      <c r="B147" s="1"/>
    </row>
    <row r="148" spans="2:2" ht="15.6" x14ac:dyDescent="0.3">
      <c r="B148" s="1"/>
    </row>
    <row r="149" spans="2:2" ht="15.6" x14ac:dyDescent="0.3">
      <c r="B149" s="1"/>
    </row>
    <row r="150" spans="2:2" ht="15.6" x14ac:dyDescent="0.3">
      <c r="B150" s="1"/>
    </row>
    <row r="151" spans="2:2" ht="15.6" x14ac:dyDescent="0.3">
      <c r="B151" s="1"/>
    </row>
    <row r="152" spans="2:2" ht="15.6" x14ac:dyDescent="0.3">
      <c r="B152" s="1"/>
    </row>
    <row r="153" spans="2:2" ht="15.6" x14ac:dyDescent="0.3">
      <c r="B153" s="1"/>
    </row>
    <row r="154" spans="2:2" ht="15.6" x14ac:dyDescent="0.3">
      <c r="B154" s="1"/>
    </row>
    <row r="155" spans="2:2" ht="15.6" x14ac:dyDescent="0.3">
      <c r="B155" s="1"/>
    </row>
    <row r="156" spans="2:2" ht="15.6" x14ac:dyDescent="0.3">
      <c r="B156" s="1"/>
    </row>
    <row r="157" spans="2:2" ht="15.6" x14ac:dyDescent="0.3">
      <c r="B157" s="1"/>
    </row>
    <row r="158" spans="2:2" ht="15.6" x14ac:dyDescent="0.3">
      <c r="B158" s="1"/>
    </row>
    <row r="159" spans="2:2" ht="15.6" x14ac:dyDescent="0.3">
      <c r="B159" s="1"/>
    </row>
    <row r="160" spans="2:2" ht="15.6" x14ac:dyDescent="0.3">
      <c r="B160" s="1"/>
    </row>
    <row r="161" spans="2:2" ht="15.6" x14ac:dyDescent="0.3">
      <c r="B161" s="1"/>
    </row>
    <row r="162" spans="2:2" ht="15.6" x14ac:dyDescent="0.3">
      <c r="B162" s="1"/>
    </row>
    <row r="163" spans="2:2" ht="15.6" x14ac:dyDescent="0.3">
      <c r="B163" s="1"/>
    </row>
    <row r="164" spans="2:2" ht="15.6" x14ac:dyDescent="0.3">
      <c r="B164" s="1"/>
    </row>
    <row r="165" spans="2:2" ht="15.6" x14ac:dyDescent="0.3">
      <c r="B165" s="1"/>
    </row>
    <row r="166" spans="2:2" ht="15.6" x14ac:dyDescent="0.3">
      <c r="B166" s="1"/>
    </row>
    <row r="167" spans="2:2" ht="15.6" x14ac:dyDescent="0.3">
      <c r="B167" s="1"/>
    </row>
    <row r="168" spans="2:2" ht="15.6" x14ac:dyDescent="0.3">
      <c r="B168" s="1"/>
    </row>
    <row r="169" spans="2:2" ht="15.6" x14ac:dyDescent="0.3">
      <c r="B169" s="1"/>
    </row>
    <row r="170" spans="2:2" ht="15.6" x14ac:dyDescent="0.3">
      <c r="B170" s="1"/>
    </row>
    <row r="171" spans="2:2" ht="15.6" x14ac:dyDescent="0.3">
      <c r="B171" s="1"/>
    </row>
    <row r="172" spans="2:2" ht="15.6" x14ac:dyDescent="0.3">
      <c r="B172" s="1"/>
    </row>
    <row r="173" spans="2:2" ht="15.6" x14ac:dyDescent="0.3">
      <c r="B173" s="1"/>
    </row>
    <row r="174" spans="2:2" ht="15.6" x14ac:dyDescent="0.3">
      <c r="B174" s="1"/>
    </row>
    <row r="175" spans="2:2" ht="15.6" x14ac:dyDescent="0.3">
      <c r="B175" s="1"/>
    </row>
    <row r="176" spans="2:2" ht="15.6" x14ac:dyDescent="0.3">
      <c r="B176" s="1"/>
    </row>
    <row r="177" spans="2:2" ht="15.6" x14ac:dyDescent="0.3">
      <c r="B177" s="1"/>
    </row>
    <row r="178" spans="2:2" ht="15.6" x14ac:dyDescent="0.3">
      <c r="B178" s="1"/>
    </row>
    <row r="179" spans="2:2" ht="15.6" x14ac:dyDescent="0.3">
      <c r="B179" s="1"/>
    </row>
    <row r="180" spans="2:2" ht="15.6" x14ac:dyDescent="0.3">
      <c r="B180" s="1"/>
    </row>
    <row r="181" spans="2:2" ht="15.6" x14ac:dyDescent="0.3">
      <c r="B181" s="1"/>
    </row>
    <row r="182" spans="2:2" ht="15.6" x14ac:dyDescent="0.3">
      <c r="B182" s="1"/>
    </row>
    <row r="183" spans="2:2" ht="15.6" x14ac:dyDescent="0.3">
      <c r="B183" s="1"/>
    </row>
    <row r="184" spans="2:2" ht="15.6" x14ac:dyDescent="0.3">
      <c r="B184" s="1"/>
    </row>
    <row r="185" spans="2:2" ht="15.6" x14ac:dyDescent="0.3">
      <c r="B185" s="1"/>
    </row>
    <row r="186" spans="2:2" ht="15.6" x14ac:dyDescent="0.3">
      <c r="B186" s="1"/>
    </row>
    <row r="187" spans="2:2" ht="15.6" x14ac:dyDescent="0.3">
      <c r="B187" s="1"/>
    </row>
    <row r="188" spans="2:2" ht="15.6" x14ac:dyDescent="0.3">
      <c r="B188" s="1"/>
    </row>
    <row r="189" spans="2:2" ht="15.6" x14ac:dyDescent="0.3">
      <c r="B189" s="1"/>
    </row>
    <row r="190" spans="2:2" ht="15.6" x14ac:dyDescent="0.3">
      <c r="B190" s="1"/>
    </row>
    <row r="191" spans="2:2" ht="15.6" x14ac:dyDescent="0.3">
      <c r="B191" s="1"/>
    </row>
    <row r="192" spans="2:2" ht="15.6" x14ac:dyDescent="0.3">
      <c r="B192" s="1"/>
    </row>
    <row r="193" spans="2:2" ht="15.6" x14ac:dyDescent="0.3">
      <c r="B193" s="1"/>
    </row>
    <row r="194" spans="2:2" ht="15.6" x14ac:dyDescent="0.3">
      <c r="B194" s="1"/>
    </row>
    <row r="195" spans="2:2" ht="15.6" x14ac:dyDescent="0.3">
      <c r="B195" s="1"/>
    </row>
    <row r="196" spans="2:2" ht="15.6" x14ac:dyDescent="0.3">
      <c r="B196" s="1"/>
    </row>
    <row r="197" spans="2:2" ht="15.6" x14ac:dyDescent="0.3">
      <c r="B197" s="1"/>
    </row>
    <row r="198" spans="2:2" ht="15.6" x14ac:dyDescent="0.3">
      <c r="B198" s="1"/>
    </row>
    <row r="199" spans="2:2" ht="15.6" x14ac:dyDescent="0.3">
      <c r="B199" s="1"/>
    </row>
    <row r="200" spans="2:2" ht="15.6" x14ac:dyDescent="0.3">
      <c r="B200" s="1"/>
    </row>
    <row r="201" spans="2:2" ht="15.6" x14ac:dyDescent="0.3">
      <c r="B201" s="1"/>
    </row>
    <row r="202" spans="2:2" ht="15.6" x14ac:dyDescent="0.3">
      <c r="B202" s="1"/>
    </row>
    <row r="203" spans="2:2" ht="15.6" x14ac:dyDescent="0.3">
      <c r="B203" s="1"/>
    </row>
    <row r="204" spans="2:2" ht="15.6" x14ac:dyDescent="0.3">
      <c r="B204" s="1"/>
    </row>
    <row r="205" spans="2:2" ht="15.6" x14ac:dyDescent="0.3">
      <c r="B205" s="1"/>
    </row>
    <row r="206" spans="2:2" ht="15.6" x14ac:dyDescent="0.3">
      <c r="B206" s="1"/>
    </row>
    <row r="207" spans="2:2" ht="15.6" x14ac:dyDescent="0.3">
      <c r="B207" s="1"/>
    </row>
    <row r="208" spans="2:2" ht="15.6" x14ac:dyDescent="0.3">
      <c r="B208" s="1"/>
    </row>
    <row r="209" spans="2:2" ht="15.6" x14ac:dyDescent="0.3">
      <c r="B209" s="1"/>
    </row>
    <row r="210" spans="2:2" ht="15.6" x14ac:dyDescent="0.3">
      <c r="B210" s="1"/>
    </row>
    <row r="211" spans="2:2" ht="15.6" x14ac:dyDescent="0.3">
      <c r="B211" s="1"/>
    </row>
    <row r="212" spans="2:2" ht="15.6" x14ac:dyDescent="0.3">
      <c r="B212" s="1"/>
    </row>
    <row r="213" spans="2:2" ht="15.6" x14ac:dyDescent="0.3">
      <c r="B213" s="1"/>
    </row>
    <row r="214" spans="2:2" ht="15.6" x14ac:dyDescent="0.3">
      <c r="B214" s="1"/>
    </row>
    <row r="215" spans="2:2" ht="15.6" x14ac:dyDescent="0.3">
      <c r="B215" s="1"/>
    </row>
    <row r="216" spans="2:2" ht="15.6" x14ac:dyDescent="0.3">
      <c r="B216" s="1"/>
    </row>
    <row r="217" spans="2:2" ht="15.6" x14ac:dyDescent="0.3">
      <c r="B217" s="1"/>
    </row>
    <row r="218" spans="2:2" ht="15.6" x14ac:dyDescent="0.3">
      <c r="B218" s="1"/>
    </row>
    <row r="219" spans="2:2" ht="15.6" x14ac:dyDescent="0.3">
      <c r="B219" s="1"/>
    </row>
    <row r="220" spans="2:2" ht="15.6" x14ac:dyDescent="0.3">
      <c r="B220" s="1"/>
    </row>
    <row r="221" spans="2:2" ht="15.6" x14ac:dyDescent="0.3">
      <c r="B221" s="1"/>
    </row>
    <row r="222" spans="2:2" ht="15.6" x14ac:dyDescent="0.3">
      <c r="B222" s="1"/>
    </row>
    <row r="223" spans="2:2" ht="15.6" x14ac:dyDescent="0.3">
      <c r="B223" s="1"/>
    </row>
    <row r="224" spans="2:2" ht="15.6" x14ac:dyDescent="0.3">
      <c r="B224" s="1"/>
    </row>
    <row r="225" spans="2:2" ht="15.6" x14ac:dyDescent="0.3">
      <c r="B225" s="1"/>
    </row>
    <row r="226" spans="2:2" ht="15.6" x14ac:dyDescent="0.3">
      <c r="B226" s="1"/>
    </row>
    <row r="227" spans="2:2" ht="15.6" x14ac:dyDescent="0.3">
      <c r="B227" s="1"/>
    </row>
    <row r="228" spans="2:2" ht="15.6" x14ac:dyDescent="0.3">
      <c r="B228" s="1"/>
    </row>
    <row r="229" spans="2:2" ht="15.6" x14ac:dyDescent="0.3">
      <c r="B229" s="1"/>
    </row>
    <row r="230" spans="2:2" ht="15.6" x14ac:dyDescent="0.3">
      <c r="B230" s="1"/>
    </row>
    <row r="231" spans="2:2" ht="15.6" x14ac:dyDescent="0.3">
      <c r="B231" s="1"/>
    </row>
    <row r="232" spans="2:2" ht="15.6" x14ac:dyDescent="0.3">
      <c r="B232" s="1"/>
    </row>
    <row r="233" spans="2:2" ht="15.6" x14ac:dyDescent="0.3">
      <c r="B233" s="1"/>
    </row>
    <row r="234" spans="2:2" ht="15.6" x14ac:dyDescent="0.3">
      <c r="B234" s="1"/>
    </row>
    <row r="235" spans="2:2" ht="15.6" x14ac:dyDescent="0.3">
      <c r="B235" s="1"/>
    </row>
    <row r="236" spans="2:2" ht="15.6" x14ac:dyDescent="0.3">
      <c r="B236" s="1"/>
    </row>
    <row r="237" spans="2:2" ht="15.6" x14ac:dyDescent="0.3">
      <c r="B237" s="1"/>
    </row>
    <row r="238" spans="2:2" ht="15.6" x14ac:dyDescent="0.3">
      <c r="B238" s="1"/>
    </row>
    <row r="239" spans="2:2" ht="15.6" x14ac:dyDescent="0.3">
      <c r="B239" s="1"/>
    </row>
    <row r="240" spans="2:2" ht="15.6" x14ac:dyDescent="0.3">
      <c r="B240" s="1"/>
    </row>
    <row r="241" spans="2:2" ht="15.6" x14ac:dyDescent="0.3">
      <c r="B241" s="1"/>
    </row>
    <row r="242" spans="2:2" ht="15.6" x14ac:dyDescent="0.3">
      <c r="B242" s="1"/>
    </row>
    <row r="243" spans="2:2" ht="15.6" x14ac:dyDescent="0.3">
      <c r="B243" s="1"/>
    </row>
    <row r="244" spans="2:2" ht="15.6" x14ac:dyDescent="0.3">
      <c r="B244" s="1"/>
    </row>
    <row r="245" spans="2:2" ht="15.6" x14ac:dyDescent="0.3">
      <c r="B245" s="1"/>
    </row>
    <row r="246" spans="2:2" ht="15.6" x14ac:dyDescent="0.3">
      <c r="B246" s="1"/>
    </row>
    <row r="247" spans="2:2" ht="15.6" x14ac:dyDescent="0.3">
      <c r="B247" s="1"/>
    </row>
    <row r="248" spans="2:2" ht="15.6" x14ac:dyDescent="0.3">
      <c r="B248" s="1"/>
    </row>
    <row r="249" spans="2:2" ht="15.6" x14ac:dyDescent="0.3">
      <c r="B249" s="1"/>
    </row>
    <row r="250" spans="2:2" ht="15.6" x14ac:dyDescent="0.3">
      <c r="B250" s="1"/>
    </row>
    <row r="251" spans="2:2" ht="15.6" x14ac:dyDescent="0.3">
      <c r="B251" s="1"/>
    </row>
    <row r="252" spans="2:2" ht="15.6" x14ac:dyDescent="0.3">
      <c r="B252" s="1"/>
    </row>
    <row r="253" spans="2:2" ht="15.6" x14ac:dyDescent="0.3">
      <c r="B253" s="1"/>
    </row>
  </sheetData>
  <mergeCells count="14">
    <mergeCell ref="B57:C57"/>
    <mergeCell ref="B63:C63"/>
    <mergeCell ref="B30:C30"/>
    <mergeCell ref="B35:C35"/>
    <mergeCell ref="B41:C41"/>
    <mergeCell ref="B42:C42"/>
    <mergeCell ref="B47:C47"/>
    <mergeCell ref="B52:C52"/>
    <mergeCell ref="B25:C25"/>
    <mergeCell ref="B7:C7"/>
    <mergeCell ref="B8:C8"/>
    <mergeCell ref="B13:C13"/>
    <mergeCell ref="B19:C19"/>
    <mergeCell ref="B20:C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32A3-8B6E-4E9E-9A7D-1D781C24570C}">
  <dimension ref="B2:D253"/>
  <sheetViews>
    <sheetView zoomScale="90" zoomScaleNormal="90" workbookViewId="0">
      <selection activeCell="C37" sqref="C37"/>
    </sheetView>
  </sheetViews>
  <sheetFormatPr baseColWidth="10" defaultRowHeight="14.4" x14ac:dyDescent="0.3"/>
  <cols>
    <col min="2" max="2" width="143.109375" bestFit="1" customWidth="1"/>
  </cols>
  <sheetData>
    <row r="2" spans="2:4" ht="15.6" x14ac:dyDescent="0.3">
      <c r="B2" s="2" t="s">
        <v>62</v>
      </c>
    </row>
    <row r="3" spans="2:4" ht="16.2" thickBot="1" x14ac:dyDescent="0.35">
      <c r="B3" s="2" t="s">
        <v>63</v>
      </c>
    </row>
    <row r="4" spans="2:4" ht="16.2" thickBot="1" x14ac:dyDescent="0.35">
      <c r="B4" s="9" t="s">
        <v>61</v>
      </c>
      <c r="C4" s="7">
        <f>SUM(C18,C40,C62,C68)*20</f>
        <v>14.8</v>
      </c>
    </row>
    <row r="6" spans="2:4" ht="15" thickBot="1" x14ac:dyDescent="0.35"/>
    <row r="7" spans="2:4" ht="18.600000000000001" thickBot="1" x14ac:dyDescent="0.4">
      <c r="B7" s="16" t="s">
        <v>0</v>
      </c>
      <c r="C7" s="17"/>
    </row>
    <row r="8" spans="2:4" ht="15.6" x14ac:dyDescent="0.3">
      <c r="B8" s="18" t="s">
        <v>1</v>
      </c>
      <c r="C8" s="19"/>
    </row>
    <row r="9" spans="2:4" ht="15.6" x14ac:dyDescent="0.3">
      <c r="B9" s="4" t="s">
        <v>3</v>
      </c>
      <c r="C9" s="3">
        <v>1</v>
      </c>
      <c r="D9" s="13">
        <f>IF(C9=1,0.15,0)</f>
        <v>0.15</v>
      </c>
    </row>
    <row r="10" spans="2:4" ht="15.6" x14ac:dyDescent="0.3">
      <c r="B10" s="4" t="s">
        <v>4</v>
      </c>
      <c r="C10" s="3"/>
      <c r="D10" s="13">
        <f>IF(C10=1,0.1,0)</f>
        <v>0</v>
      </c>
    </row>
    <row r="11" spans="2:4" ht="15.6" x14ac:dyDescent="0.3">
      <c r="B11" s="4" t="s">
        <v>5</v>
      </c>
      <c r="C11" s="3"/>
      <c r="D11" s="13">
        <f>IF(C11=1,0.05,0)</f>
        <v>0</v>
      </c>
    </row>
    <row r="12" spans="2:4" ht="15.6" x14ac:dyDescent="0.3">
      <c r="B12" s="4" t="s">
        <v>6</v>
      </c>
      <c r="C12" s="3"/>
      <c r="D12" s="13">
        <v>0</v>
      </c>
    </row>
    <row r="13" spans="2:4" ht="15.6" x14ac:dyDescent="0.3">
      <c r="B13" s="14" t="s">
        <v>2</v>
      </c>
      <c r="C13" s="15"/>
      <c r="D13" s="13"/>
    </row>
    <row r="14" spans="2:4" ht="15.6" x14ac:dyDescent="0.3">
      <c r="B14" s="4" t="s">
        <v>7</v>
      </c>
      <c r="C14" s="3">
        <v>1</v>
      </c>
      <c r="D14" s="13">
        <f>IF(C14=1,0.1,0)</f>
        <v>0.1</v>
      </c>
    </row>
    <row r="15" spans="2:4" ht="15.6" x14ac:dyDescent="0.3">
      <c r="B15" s="4" t="s">
        <v>8</v>
      </c>
      <c r="C15" s="3"/>
      <c r="D15" s="13">
        <f>IF(C15=1,0.07,0)</f>
        <v>0</v>
      </c>
    </row>
    <row r="16" spans="2:4" ht="15.6" x14ac:dyDescent="0.3">
      <c r="B16" s="4" t="s">
        <v>9</v>
      </c>
      <c r="C16" s="3"/>
      <c r="D16" s="13">
        <f>IF(C16=1,0.03,0)</f>
        <v>0</v>
      </c>
    </row>
    <row r="17" spans="2:4" ht="16.2" thickBot="1" x14ac:dyDescent="0.35">
      <c r="B17" s="4" t="s">
        <v>10</v>
      </c>
      <c r="C17" s="5"/>
      <c r="D17" s="13">
        <v>0</v>
      </c>
    </row>
    <row r="18" spans="2:4" ht="16.2" thickBot="1" x14ac:dyDescent="0.35">
      <c r="B18" s="6" t="s">
        <v>58</v>
      </c>
      <c r="C18" s="7">
        <f>SUM(D9:D17)</f>
        <v>0.25</v>
      </c>
      <c r="D18" s="13"/>
    </row>
    <row r="19" spans="2:4" ht="18.600000000000001" thickBot="1" x14ac:dyDescent="0.4">
      <c r="B19" s="20" t="s">
        <v>27</v>
      </c>
      <c r="C19" s="21"/>
    </row>
    <row r="20" spans="2:4" ht="15.6" x14ac:dyDescent="0.3">
      <c r="B20" s="22" t="s">
        <v>28</v>
      </c>
      <c r="C20" s="23"/>
    </row>
    <row r="21" spans="2:4" ht="15.6" x14ac:dyDescent="0.3">
      <c r="B21" s="4" t="s">
        <v>11</v>
      </c>
      <c r="C21" s="3">
        <v>1</v>
      </c>
      <c r="D21" s="13">
        <f>IF(C21=1,0.05,0)</f>
        <v>0.05</v>
      </c>
    </row>
    <row r="22" spans="2:4" ht="15.6" x14ac:dyDescent="0.3">
      <c r="B22" s="4" t="s">
        <v>12</v>
      </c>
      <c r="C22" s="3"/>
      <c r="D22" s="13">
        <f>IF(C22=1,0.03,0)</f>
        <v>0</v>
      </c>
    </row>
    <row r="23" spans="2:4" ht="15.6" x14ac:dyDescent="0.3">
      <c r="B23" s="4" t="s">
        <v>13</v>
      </c>
      <c r="C23" s="3"/>
      <c r="D23" s="13">
        <f>IF(C23=1,0.01,0)</f>
        <v>0</v>
      </c>
    </row>
    <row r="24" spans="2:4" ht="15.6" x14ac:dyDescent="0.3">
      <c r="B24" s="4" t="s">
        <v>14</v>
      </c>
      <c r="C24" s="3"/>
      <c r="D24" s="13">
        <v>0</v>
      </c>
    </row>
    <row r="25" spans="2:4" ht="15.6" x14ac:dyDescent="0.3">
      <c r="B25" s="14" t="s">
        <v>29</v>
      </c>
      <c r="C25" s="15"/>
      <c r="D25" s="13"/>
    </row>
    <row r="26" spans="2:4" ht="15.6" x14ac:dyDescent="0.3">
      <c r="B26" s="4" t="s">
        <v>15</v>
      </c>
      <c r="C26" s="3"/>
      <c r="D26" s="13">
        <f>IF(C26=1,0.05,0)</f>
        <v>0</v>
      </c>
    </row>
    <row r="27" spans="2:4" ht="15.6" x14ac:dyDescent="0.3">
      <c r="B27" s="4" t="s">
        <v>16</v>
      </c>
      <c r="C27" s="3">
        <v>1</v>
      </c>
      <c r="D27" s="13">
        <f>IF(C27=1,0.03,0)</f>
        <v>0.03</v>
      </c>
    </row>
    <row r="28" spans="2:4" ht="15.6" x14ac:dyDescent="0.3">
      <c r="B28" s="4" t="s">
        <v>17</v>
      </c>
      <c r="C28" s="3"/>
      <c r="D28" s="13">
        <f>IF(C28=1,0.01,0)</f>
        <v>0</v>
      </c>
    </row>
    <row r="29" spans="2:4" ht="15.6" x14ac:dyDescent="0.3">
      <c r="B29" s="4" t="s">
        <v>18</v>
      </c>
      <c r="C29" s="3"/>
      <c r="D29" s="13">
        <v>0</v>
      </c>
    </row>
    <row r="30" spans="2:4" ht="15.6" x14ac:dyDescent="0.3">
      <c r="B30" s="14" t="s">
        <v>30</v>
      </c>
      <c r="C30" s="15"/>
      <c r="D30" s="13"/>
    </row>
    <row r="31" spans="2:4" ht="15.6" x14ac:dyDescent="0.3">
      <c r="B31" s="4" t="s">
        <v>19</v>
      </c>
      <c r="C31" s="3">
        <v>1</v>
      </c>
      <c r="D31" s="13">
        <f>IF(C31=1,0.05,0)</f>
        <v>0.05</v>
      </c>
    </row>
    <row r="32" spans="2:4" ht="15.6" x14ac:dyDescent="0.3">
      <c r="B32" s="4" t="s">
        <v>20</v>
      </c>
      <c r="C32" s="3"/>
      <c r="D32" s="13">
        <f>IF(C32=1,0.03,0)</f>
        <v>0</v>
      </c>
    </row>
    <row r="33" spans="2:4" ht="15.6" x14ac:dyDescent="0.3">
      <c r="B33" s="4" t="s">
        <v>21</v>
      </c>
      <c r="C33" s="3"/>
      <c r="D33" s="13">
        <f>IF(C33=1,0.01,0)</f>
        <v>0</v>
      </c>
    </row>
    <row r="34" spans="2:4" ht="15.6" x14ac:dyDescent="0.3">
      <c r="B34" s="4" t="s">
        <v>22</v>
      </c>
      <c r="C34" s="3"/>
      <c r="D34" s="13">
        <v>0</v>
      </c>
    </row>
    <row r="35" spans="2:4" ht="15.6" x14ac:dyDescent="0.3">
      <c r="B35" s="14" t="s">
        <v>31</v>
      </c>
      <c r="C35" s="15"/>
      <c r="D35" s="13"/>
    </row>
    <row r="36" spans="2:4" ht="15.6" x14ac:dyDescent="0.3">
      <c r="B36" s="4" t="s">
        <v>23</v>
      </c>
      <c r="C36" s="3">
        <v>1</v>
      </c>
      <c r="D36" s="13">
        <f>IF(C36=1,0.05,0)</f>
        <v>0.05</v>
      </c>
    </row>
    <row r="37" spans="2:4" ht="15.6" x14ac:dyDescent="0.3">
      <c r="B37" s="4" t="s">
        <v>24</v>
      </c>
      <c r="C37" s="3"/>
      <c r="D37" s="13">
        <f>IF(C37=1,0.03,0)</f>
        <v>0</v>
      </c>
    </row>
    <row r="38" spans="2:4" ht="15.6" x14ac:dyDescent="0.3">
      <c r="B38" s="4" t="s">
        <v>25</v>
      </c>
      <c r="C38" s="3"/>
      <c r="D38" s="13">
        <f>IF(C38=1,0.01,0)</f>
        <v>0</v>
      </c>
    </row>
    <row r="39" spans="2:4" ht="16.2" thickBot="1" x14ac:dyDescent="0.35">
      <c r="B39" s="4" t="s">
        <v>26</v>
      </c>
      <c r="C39" s="5"/>
      <c r="D39" s="13">
        <v>0</v>
      </c>
    </row>
    <row r="40" spans="2:4" ht="16.2" thickBot="1" x14ac:dyDescent="0.35">
      <c r="B40" s="6" t="s">
        <v>58</v>
      </c>
      <c r="C40" s="10">
        <f>SUM(D21:D39)</f>
        <v>0.18</v>
      </c>
      <c r="D40" s="13"/>
    </row>
    <row r="41" spans="2:4" ht="18.600000000000001" thickBot="1" x14ac:dyDescent="0.4">
      <c r="B41" s="20" t="s">
        <v>48</v>
      </c>
      <c r="C41" s="21"/>
    </row>
    <row r="42" spans="2:4" ht="15.6" x14ac:dyDescent="0.3">
      <c r="B42" s="22" t="s">
        <v>49</v>
      </c>
      <c r="C42" s="23"/>
    </row>
    <row r="43" spans="2:4" ht="15.6" x14ac:dyDescent="0.3">
      <c r="B43" s="4" t="s">
        <v>32</v>
      </c>
      <c r="C43" s="3"/>
      <c r="D43" s="13">
        <f>IF(C43=1,0.05,0)</f>
        <v>0</v>
      </c>
    </row>
    <row r="44" spans="2:4" ht="15.6" x14ac:dyDescent="0.3">
      <c r="B44" s="4" t="s">
        <v>33</v>
      </c>
      <c r="C44" s="3">
        <v>1</v>
      </c>
      <c r="D44" s="13">
        <f>IF(C44=1,0.03,0)</f>
        <v>0.03</v>
      </c>
    </row>
    <row r="45" spans="2:4" ht="15.6" x14ac:dyDescent="0.3">
      <c r="B45" s="4" t="s">
        <v>34</v>
      </c>
      <c r="C45" s="3"/>
      <c r="D45" s="13">
        <f>IF(C45=1,0.01,0)</f>
        <v>0</v>
      </c>
    </row>
    <row r="46" spans="2:4" ht="15.6" x14ac:dyDescent="0.3">
      <c r="B46" s="4" t="s">
        <v>35</v>
      </c>
      <c r="C46" s="3"/>
      <c r="D46" s="13">
        <v>0</v>
      </c>
    </row>
    <row r="47" spans="2:4" ht="15.6" x14ac:dyDescent="0.3">
      <c r="B47" s="14" t="s">
        <v>50</v>
      </c>
      <c r="C47" s="15"/>
    </row>
    <row r="48" spans="2:4" ht="15.6" x14ac:dyDescent="0.3">
      <c r="B48" s="4" t="s">
        <v>36</v>
      </c>
      <c r="C48" s="3"/>
      <c r="D48" s="13">
        <f>IF(C48=1,0.05,0)</f>
        <v>0</v>
      </c>
    </row>
    <row r="49" spans="2:4" ht="15.6" x14ac:dyDescent="0.3">
      <c r="B49" s="4" t="s">
        <v>37</v>
      </c>
      <c r="C49" s="3">
        <v>1</v>
      </c>
      <c r="D49" s="13">
        <f>IF(C49=1,0.03,0)</f>
        <v>0.03</v>
      </c>
    </row>
    <row r="50" spans="2:4" ht="15.6" x14ac:dyDescent="0.3">
      <c r="B50" s="4" t="s">
        <v>38</v>
      </c>
      <c r="C50" s="3"/>
      <c r="D50" s="13">
        <f>IF(C50=1,0.01,0)</f>
        <v>0</v>
      </c>
    </row>
    <row r="51" spans="2:4" ht="15.6" x14ac:dyDescent="0.3">
      <c r="B51" s="4" t="s">
        <v>39</v>
      </c>
      <c r="C51" s="3"/>
      <c r="D51" s="13">
        <v>0</v>
      </c>
    </row>
    <row r="52" spans="2:4" ht="15.6" x14ac:dyDescent="0.3">
      <c r="B52" s="14" t="s">
        <v>51</v>
      </c>
      <c r="C52" s="15"/>
    </row>
    <row r="53" spans="2:4" ht="15.6" x14ac:dyDescent="0.3">
      <c r="B53" s="4" t="s">
        <v>40</v>
      </c>
      <c r="C53" s="3">
        <v>1</v>
      </c>
      <c r="D53" s="13">
        <f>IF(C53=1,0.05,0)</f>
        <v>0.05</v>
      </c>
    </row>
    <row r="54" spans="2:4" ht="15.6" x14ac:dyDescent="0.3">
      <c r="B54" s="4" t="s">
        <v>41</v>
      </c>
      <c r="C54" s="3"/>
      <c r="D54" s="13">
        <f>IF(C54=1,0.03,0)</f>
        <v>0</v>
      </c>
    </row>
    <row r="55" spans="2:4" ht="15.6" x14ac:dyDescent="0.3">
      <c r="B55" s="4" t="s">
        <v>42</v>
      </c>
      <c r="C55" s="3"/>
      <c r="D55" s="13">
        <f>IF(C55=1,0.01,0)</f>
        <v>0</v>
      </c>
    </row>
    <row r="56" spans="2:4" ht="15.6" x14ac:dyDescent="0.3">
      <c r="B56" s="4" t="s">
        <v>43</v>
      </c>
      <c r="C56" s="3"/>
      <c r="D56" s="13">
        <v>0</v>
      </c>
    </row>
    <row r="57" spans="2:4" ht="15.6" x14ac:dyDescent="0.3">
      <c r="B57" s="14" t="s">
        <v>52</v>
      </c>
      <c r="C57" s="15"/>
    </row>
    <row r="58" spans="2:4" ht="15.6" x14ac:dyDescent="0.3">
      <c r="B58" s="4" t="s">
        <v>44</v>
      </c>
      <c r="C58" s="3">
        <v>1</v>
      </c>
      <c r="D58" s="13">
        <f>IF(C58=1,0.05,0)</f>
        <v>0.05</v>
      </c>
    </row>
    <row r="59" spans="2:4" ht="15.6" x14ac:dyDescent="0.3">
      <c r="B59" s="4" t="s">
        <v>45</v>
      </c>
      <c r="C59" s="3"/>
      <c r="D59" s="13">
        <f>IF(C59=1,0.03,0)</f>
        <v>0</v>
      </c>
    </row>
    <row r="60" spans="2:4" ht="15.6" x14ac:dyDescent="0.3">
      <c r="B60" s="4" t="s">
        <v>46</v>
      </c>
      <c r="C60" s="3"/>
      <c r="D60" s="13">
        <f>IF(C60=1,0.01,0)</f>
        <v>0</v>
      </c>
    </row>
    <row r="61" spans="2:4" ht="16.2" thickBot="1" x14ac:dyDescent="0.35">
      <c r="B61" s="4" t="s">
        <v>47</v>
      </c>
      <c r="C61" s="5"/>
      <c r="D61" s="13">
        <v>0</v>
      </c>
    </row>
    <row r="62" spans="2:4" ht="16.2" thickBot="1" x14ac:dyDescent="0.35">
      <c r="B62" s="6" t="s">
        <v>58</v>
      </c>
      <c r="C62" s="10">
        <f>SUM(D43:D61)</f>
        <v>0.16</v>
      </c>
    </row>
    <row r="63" spans="2:4" ht="18.600000000000001" thickBot="1" x14ac:dyDescent="0.4">
      <c r="B63" s="20" t="s">
        <v>57</v>
      </c>
      <c r="C63" s="21"/>
    </row>
    <row r="64" spans="2:4" ht="15.6" x14ac:dyDescent="0.3">
      <c r="B64" s="12" t="s">
        <v>53</v>
      </c>
      <c r="C64" s="11">
        <v>1</v>
      </c>
      <c r="D64" s="13">
        <f t="shared" ref="D64" si="0">IF(C64=1,0.15,0)</f>
        <v>0.15</v>
      </c>
    </row>
    <row r="65" spans="2:4" ht="15.6" x14ac:dyDescent="0.3">
      <c r="B65" s="4" t="s">
        <v>54</v>
      </c>
      <c r="C65" s="3"/>
      <c r="D65" s="13">
        <f>IF(C65=1,0.1,0)</f>
        <v>0</v>
      </c>
    </row>
    <row r="66" spans="2:4" ht="15.6" x14ac:dyDescent="0.3">
      <c r="B66" s="4" t="s">
        <v>55</v>
      </c>
      <c r="C66" s="3"/>
      <c r="D66" s="13">
        <f>IF(C66=1,0.05,0)</f>
        <v>0</v>
      </c>
    </row>
    <row r="67" spans="2:4" ht="16.2" thickBot="1" x14ac:dyDescent="0.35">
      <c r="B67" s="4" t="s">
        <v>56</v>
      </c>
      <c r="C67" s="5"/>
      <c r="D67" s="13">
        <v>0</v>
      </c>
    </row>
    <row r="68" spans="2:4" ht="16.2" thickBot="1" x14ac:dyDescent="0.35">
      <c r="B68" s="8" t="s">
        <v>58</v>
      </c>
      <c r="C68" s="7">
        <f>SUM(D64:D67)</f>
        <v>0.15</v>
      </c>
    </row>
    <row r="69" spans="2:4" ht="15.6" x14ac:dyDescent="0.3">
      <c r="B69" s="2"/>
    </row>
    <row r="70" spans="2:4" ht="15.6" x14ac:dyDescent="0.3">
      <c r="B70" s="2"/>
    </row>
    <row r="71" spans="2:4" ht="15.6" x14ac:dyDescent="0.3">
      <c r="B71" s="2"/>
    </row>
    <row r="72" spans="2:4" ht="15.6" x14ac:dyDescent="0.3">
      <c r="B72" s="2"/>
    </row>
    <row r="73" spans="2:4" ht="15.6" x14ac:dyDescent="0.3">
      <c r="B73" s="2"/>
    </row>
    <row r="74" spans="2:4" ht="15.6" x14ac:dyDescent="0.3">
      <c r="B74" s="2"/>
    </row>
    <row r="75" spans="2:4" ht="15.6" x14ac:dyDescent="0.3">
      <c r="B75" s="2"/>
    </row>
    <row r="76" spans="2:4" ht="15.6" x14ac:dyDescent="0.3">
      <c r="B76" s="2"/>
    </row>
    <row r="77" spans="2:4" ht="15.6" x14ac:dyDescent="0.3">
      <c r="B77" s="2"/>
    </row>
    <row r="78" spans="2:4" ht="15.6" x14ac:dyDescent="0.3">
      <c r="B78" s="2"/>
    </row>
    <row r="79" spans="2:4" ht="15.6" x14ac:dyDescent="0.3">
      <c r="B79" s="2"/>
    </row>
    <row r="80" spans="2:4" ht="15.6" x14ac:dyDescent="0.3">
      <c r="B80" s="2"/>
    </row>
    <row r="81" spans="2:2" ht="15.6" x14ac:dyDescent="0.3">
      <c r="B81" s="2"/>
    </row>
    <row r="82" spans="2:2" ht="15.6" x14ac:dyDescent="0.3">
      <c r="B82" s="2"/>
    </row>
    <row r="83" spans="2:2" ht="15.6" x14ac:dyDescent="0.3">
      <c r="B83" s="2"/>
    </row>
    <row r="84" spans="2:2" ht="15.6" x14ac:dyDescent="0.3">
      <c r="B84" s="2"/>
    </row>
    <row r="85" spans="2:2" ht="15.6" x14ac:dyDescent="0.3">
      <c r="B85" s="2"/>
    </row>
    <row r="86" spans="2:2" ht="15.6" x14ac:dyDescent="0.3">
      <c r="B86" s="2"/>
    </row>
    <row r="87" spans="2:2" ht="15.6" x14ac:dyDescent="0.3">
      <c r="B87" s="2"/>
    </row>
    <row r="88" spans="2:2" ht="15.6" x14ac:dyDescent="0.3">
      <c r="B88" s="2"/>
    </row>
    <row r="89" spans="2:2" ht="15.6" x14ac:dyDescent="0.3">
      <c r="B89" s="2"/>
    </row>
    <row r="90" spans="2:2" ht="15.6" x14ac:dyDescent="0.3">
      <c r="B90" s="2"/>
    </row>
    <row r="91" spans="2:2" ht="15.6" x14ac:dyDescent="0.3">
      <c r="B91" s="2"/>
    </row>
    <row r="92" spans="2:2" ht="15.6" x14ac:dyDescent="0.3">
      <c r="B92" s="2"/>
    </row>
    <row r="93" spans="2:2" ht="15.6" x14ac:dyDescent="0.3">
      <c r="B93" s="2"/>
    </row>
    <row r="94" spans="2:2" ht="15.6" x14ac:dyDescent="0.3">
      <c r="B94" s="2"/>
    </row>
    <row r="95" spans="2:2" ht="15.6" x14ac:dyDescent="0.3">
      <c r="B95" s="2"/>
    </row>
    <row r="96" spans="2:2" ht="15.6" x14ac:dyDescent="0.3">
      <c r="B96" s="2"/>
    </row>
    <row r="97" spans="2:2" ht="15.6" x14ac:dyDescent="0.3">
      <c r="B97" s="2"/>
    </row>
    <row r="98" spans="2:2" ht="15.6" x14ac:dyDescent="0.3">
      <c r="B98" s="2"/>
    </row>
    <row r="99" spans="2:2" ht="15.6" x14ac:dyDescent="0.3">
      <c r="B99" s="2"/>
    </row>
    <row r="100" spans="2:2" ht="15.6" x14ac:dyDescent="0.3">
      <c r="B100" s="2"/>
    </row>
    <row r="101" spans="2:2" ht="15.6" x14ac:dyDescent="0.3">
      <c r="B101" s="2"/>
    </row>
    <row r="102" spans="2:2" ht="15.6" x14ac:dyDescent="0.3">
      <c r="B102" s="2"/>
    </row>
    <row r="103" spans="2:2" ht="15.6" x14ac:dyDescent="0.3">
      <c r="B103" s="2"/>
    </row>
    <row r="104" spans="2:2" ht="15.6" x14ac:dyDescent="0.3">
      <c r="B104" s="2"/>
    </row>
    <row r="105" spans="2:2" ht="15.6" x14ac:dyDescent="0.3">
      <c r="B105" s="2"/>
    </row>
    <row r="106" spans="2:2" ht="15.6" x14ac:dyDescent="0.3">
      <c r="B106" s="2"/>
    </row>
    <row r="107" spans="2:2" ht="15.6" x14ac:dyDescent="0.3">
      <c r="B107" s="2"/>
    </row>
    <row r="108" spans="2:2" ht="15.6" x14ac:dyDescent="0.3">
      <c r="B108" s="2"/>
    </row>
    <row r="109" spans="2:2" ht="15.6" x14ac:dyDescent="0.3">
      <c r="B109" s="2"/>
    </row>
    <row r="110" spans="2:2" ht="15.6" x14ac:dyDescent="0.3">
      <c r="B110" s="2"/>
    </row>
    <row r="111" spans="2:2" ht="15.6" x14ac:dyDescent="0.3">
      <c r="B111" s="2"/>
    </row>
    <row r="112" spans="2:2" ht="15.6" x14ac:dyDescent="0.3">
      <c r="B112" s="2"/>
    </row>
    <row r="113" spans="2:2" ht="15.6" x14ac:dyDescent="0.3">
      <c r="B113" s="2"/>
    </row>
    <row r="114" spans="2:2" ht="15.6" x14ac:dyDescent="0.3">
      <c r="B114" s="2"/>
    </row>
    <row r="115" spans="2:2" ht="15.6" x14ac:dyDescent="0.3">
      <c r="B115" s="2"/>
    </row>
    <row r="116" spans="2:2" ht="15.6" x14ac:dyDescent="0.3">
      <c r="B116" s="2"/>
    </row>
    <row r="117" spans="2:2" ht="15.6" x14ac:dyDescent="0.3">
      <c r="B117" s="2"/>
    </row>
    <row r="118" spans="2:2" ht="15.6" x14ac:dyDescent="0.3">
      <c r="B118" s="2"/>
    </row>
    <row r="119" spans="2:2" ht="15.6" x14ac:dyDescent="0.3">
      <c r="B119" s="2"/>
    </row>
    <row r="120" spans="2:2" ht="15.6" x14ac:dyDescent="0.3">
      <c r="B120" s="2"/>
    </row>
    <row r="121" spans="2:2" ht="15.6" x14ac:dyDescent="0.3">
      <c r="B121" s="2"/>
    </row>
    <row r="122" spans="2:2" ht="15.6" x14ac:dyDescent="0.3">
      <c r="B122" s="2"/>
    </row>
    <row r="123" spans="2:2" ht="15.6" x14ac:dyDescent="0.3">
      <c r="B123" s="2"/>
    </row>
    <row r="124" spans="2:2" ht="15.6" x14ac:dyDescent="0.3">
      <c r="B124" s="2"/>
    </row>
    <row r="125" spans="2:2" ht="15.6" x14ac:dyDescent="0.3">
      <c r="B125" s="2"/>
    </row>
    <row r="126" spans="2:2" ht="15.6" x14ac:dyDescent="0.3">
      <c r="B126" s="1"/>
    </row>
    <row r="127" spans="2:2" ht="15.6" x14ac:dyDescent="0.3">
      <c r="B127" s="1"/>
    </row>
    <row r="128" spans="2:2" ht="15.6" x14ac:dyDescent="0.3">
      <c r="B128" s="1"/>
    </row>
    <row r="129" spans="2:2" ht="15.6" x14ac:dyDescent="0.3">
      <c r="B129" s="1"/>
    </row>
    <row r="130" spans="2:2" ht="15.6" x14ac:dyDescent="0.3">
      <c r="B130" s="1"/>
    </row>
    <row r="131" spans="2:2" ht="15.6" x14ac:dyDescent="0.3">
      <c r="B131" s="1"/>
    </row>
    <row r="132" spans="2:2" ht="15.6" x14ac:dyDescent="0.3">
      <c r="B132" s="1"/>
    </row>
    <row r="133" spans="2:2" ht="15.6" x14ac:dyDescent="0.3">
      <c r="B133" s="1"/>
    </row>
    <row r="134" spans="2:2" ht="15.6" x14ac:dyDescent="0.3">
      <c r="B134" s="1"/>
    </row>
    <row r="135" spans="2:2" ht="15.6" x14ac:dyDescent="0.3">
      <c r="B135" s="1"/>
    </row>
    <row r="136" spans="2:2" ht="15.6" x14ac:dyDescent="0.3">
      <c r="B136" s="1"/>
    </row>
    <row r="137" spans="2:2" ht="15.6" x14ac:dyDescent="0.3">
      <c r="B137" s="1"/>
    </row>
    <row r="138" spans="2:2" ht="15.6" x14ac:dyDescent="0.3">
      <c r="B138" s="1"/>
    </row>
    <row r="139" spans="2:2" ht="15.6" x14ac:dyDescent="0.3">
      <c r="B139" s="1"/>
    </row>
    <row r="140" spans="2:2" ht="15.6" x14ac:dyDescent="0.3">
      <c r="B140" s="1"/>
    </row>
    <row r="141" spans="2:2" ht="15.6" x14ac:dyDescent="0.3">
      <c r="B141" s="1"/>
    </row>
    <row r="142" spans="2:2" ht="15.6" x14ac:dyDescent="0.3">
      <c r="B142" s="1"/>
    </row>
    <row r="143" spans="2:2" ht="15.6" x14ac:dyDescent="0.3">
      <c r="B143" s="1"/>
    </row>
    <row r="144" spans="2:2" ht="15.6" x14ac:dyDescent="0.3">
      <c r="B144" s="1"/>
    </row>
    <row r="145" spans="2:2" ht="15.6" x14ac:dyDescent="0.3">
      <c r="B145" s="1"/>
    </row>
    <row r="146" spans="2:2" ht="15.6" x14ac:dyDescent="0.3">
      <c r="B146" s="1"/>
    </row>
    <row r="147" spans="2:2" ht="15.6" x14ac:dyDescent="0.3">
      <c r="B147" s="1"/>
    </row>
    <row r="148" spans="2:2" ht="15.6" x14ac:dyDescent="0.3">
      <c r="B148" s="1"/>
    </row>
    <row r="149" spans="2:2" ht="15.6" x14ac:dyDescent="0.3">
      <c r="B149" s="1"/>
    </row>
    <row r="150" spans="2:2" ht="15.6" x14ac:dyDescent="0.3">
      <c r="B150" s="1"/>
    </row>
    <row r="151" spans="2:2" ht="15.6" x14ac:dyDescent="0.3">
      <c r="B151" s="1"/>
    </row>
    <row r="152" spans="2:2" ht="15.6" x14ac:dyDescent="0.3">
      <c r="B152" s="1"/>
    </row>
    <row r="153" spans="2:2" ht="15.6" x14ac:dyDescent="0.3">
      <c r="B153" s="1"/>
    </row>
    <row r="154" spans="2:2" ht="15.6" x14ac:dyDescent="0.3">
      <c r="B154" s="1"/>
    </row>
    <row r="155" spans="2:2" ht="15.6" x14ac:dyDescent="0.3">
      <c r="B155" s="1"/>
    </row>
    <row r="156" spans="2:2" ht="15.6" x14ac:dyDescent="0.3">
      <c r="B156" s="1"/>
    </row>
    <row r="157" spans="2:2" ht="15.6" x14ac:dyDescent="0.3">
      <c r="B157" s="1"/>
    </row>
    <row r="158" spans="2:2" ht="15.6" x14ac:dyDescent="0.3">
      <c r="B158" s="1"/>
    </row>
    <row r="159" spans="2:2" ht="15.6" x14ac:dyDescent="0.3">
      <c r="B159" s="1"/>
    </row>
    <row r="160" spans="2:2" ht="15.6" x14ac:dyDescent="0.3">
      <c r="B160" s="1"/>
    </row>
    <row r="161" spans="2:2" ht="15.6" x14ac:dyDescent="0.3">
      <c r="B161" s="1"/>
    </row>
    <row r="162" spans="2:2" ht="15.6" x14ac:dyDescent="0.3">
      <c r="B162" s="1"/>
    </row>
    <row r="163" spans="2:2" ht="15.6" x14ac:dyDescent="0.3">
      <c r="B163" s="1"/>
    </row>
    <row r="164" spans="2:2" ht="15.6" x14ac:dyDescent="0.3">
      <c r="B164" s="1"/>
    </row>
    <row r="165" spans="2:2" ht="15.6" x14ac:dyDescent="0.3">
      <c r="B165" s="1"/>
    </row>
    <row r="166" spans="2:2" ht="15.6" x14ac:dyDescent="0.3">
      <c r="B166" s="1"/>
    </row>
    <row r="167" spans="2:2" ht="15.6" x14ac:dyDescent="0.3">
      <c r="B167" s="1"/>
    </row>
    <row r="168" spans="2:2" ht="15.6" x14ac:dyDescent="0.3">
      <c r="B168" s="1"/>
    </row>
    <row r="169" spans="2:2" ht="15.6" x14ac:dyDescent="0.3">
      <c r="B169" s="1"/>
    </row>
    <row r="170" spans="2:2" ht="15.6" x14ac:dyDescent="0.3">
      <c r="B170" s="1"/>
    </row>
    <row r="171" spans="2:2" ht="15.6" x14ac:dyDescent="0.3">
      <c r="B171" s="1"/>
    </row>
    <row r="172" spans="2:2" ht="15.6" x14ac:dyDescent="0.3">
      <c r="B172" s="1"/>
    </row>
    <row r="173" spans="2:2" ht="15.6" x14ac:dyDescent="0.3">
      <c r="B173" s="1"/>
    </row>
    <row r="174" spans="2:2" ht="15.6" x14ac:dyDescent="0.3">
      <c r="B174" s="1"/>
    </row>
    <row r="175" spans="2:2" ht="15.6" x14ac:dyDescent="0.3">
      <c r="B175" s="1"/>
    </row>
    <row r="176" spans="2:2" ht="15.6" x14ac:dyDescent="0.3">
      <c r="B176" s="1"/>
    </row>
    <row r="177" spans="2:2" ht="15.6" x14ac:dyDescent="0.3">
      <c r="B177" s="1"/>
    </row>
    <row r="178" spans="2:2" ht="15.6" x14ac:dyDescent="0.3">
      <c r="B178" s="1"/>
    </row>
    <row r="179" spans="2:2" ht="15.6" x14ac:dyDescent="0.3">
      <c r="B179" s="1"/>
    </row>
    <row r="180" spans="2:2" ht="15.6" x14ac:dyDescent="0.3">
      <c r="B180" s="1"/>
    </row>
    <row r="181" spans="2:2" ht="15.6" x14ac:dyDescent="0.3">
      <c r="B181" s="1"/>
    </row>
    <row r="182" spans="2:2" ht="15.6" x14ac:dyDescent="0.3">
      <c r="B182" s="1"/>
    </row>
    <row r="183" spans="2:2" ht="15.6" x14ac:dyDescent="0.3">
      <c r="B183" s="1"/>
    </row>
    <row r="184" spans="2:2" ht="15.6" x14ac:dyDescent="0.3">
      <c r="B184" s="1"/>
    </row>
    <row r="185" spans="2:2" ht="15.6" x14ac:dyDescent="0.3">
      <c r="B185" s="1"/>
    </row>
    <row r="186" spans="2:2" ht="15.6" x14ac:dyDescent="0.3">
      <c r="B186" s="1"/>
    </row>
    <row r="187" spans="2:2" ht="15.6" x14ac:dyDescent="0.3">
      <c r="B187" s="1"/>
    </row>
    <row r="188" spans="2:2" ht="15.6" x14ac:dyDescent="0.3">
      <c r="B188" s="1"/>
    </row>
    <row r="189" spans="2:2" ht="15.6" x14ac:dyDescent="0.3">
      <c r="B189" s="1"/>
    </row>
    <row r="190" spans="2:2" ht="15.6" x14ac:dyDescent="0.3">
      <c r="B190" s="1"/>
    </row>
    <row r="191" spans="2:2" ht="15.6" x14ac:dyDescent="0.3">
      <c r="B191" s="1"/>
    </row>
    <row r="192" spans="2:2" ht="15.6" x14ac:dyDescent="0.3">
      <c r="B192" s="1"/>
    </row>
    <row r="193" spans="2:2" ht="15.6" x14ac:dyDescent="0.3">
      <c r="B193" s="1"/>
    </row>
    <row r="194" spans="2:2" ht="15.6" x14ac:dyDescent="0.3">
      <c r="B194" s="1"/>
    </row>
    <row r="195" spans="2:2" ht="15.6" x14ac:dyDescent="0.3">
      <c r="B195" s="1"/>
    </row>
    <row r="196" spans="2:2" ht="15.6" x14ac:dyDescent="0.3">
      <c r="B196" s="1"/>
    </row>
    <row r="197" spans="2:2" ht="15.6" x14ac:dyDescent="0.3">
      <c r="B197" s="1"/>
    </row>
    <row r="198" spans="2:2" ht="15.6" x14ac:dyDescent="0.3">
      <c r="B198" s="1"/>
    </row>
    <row r="199" spans="2:2" ht="15.6" x14ac:dyDescent="0.3">
      <c r="B199" s="1"/>
    </row>
    <row r="200" spans="2:2" ht="15.6" x14ac:dyDescent="0.3">
      <c r="B200" s="1"/>
    </row>
    <row r="201" spans="2:2" ht="15.6" x14ac:dyDescent="0.3">
      <c r="B201" s="1"/>
    </row>
    <row r="202" spans="2:2" ht="15.6" x14ac:dyDescent="0.3">
      <c r="B202" s="1"/>
    </row>
    <row r="203" spans="2:2" ht="15.6" x14ac:dyDescent="0.3">
      <c r="B203" s="1"/>
    </row>
    <row r="204" spans="2:2" ht="15.6" x14ac:dyDescent="0.3">
      <c r="B204" s="1"/>
    </row>
    <row r="205" spans="2:2" ht="15.6" x14ac:dyDescent="0.3">
      <c r="B205" s="1"/>
    </row>
    <row r="206" spans="2:2" ht="15.6" x14ac:dyDescent="0.3">
      <c r="B206" s="1"/>
    </row>
    <row r="207" spans="2:2" ht="15.6" x14ac:dyDescent="0.3">
      <c r="B207" s="1"/>
    </row>
    <row r="208" spans="2:2" ht="15.6" x14ac:dyDescent="0.3">
      <c r="B208" s="1"/>
    </row>
    <row r="209" spans="2:2" ht="15.6" x14ac:dyDescent="0.3">
      <c r="B209" s="1"/>
    </row>
    <row r="210" spans="2:2" ht="15.6" x14ac:dyDescent="0.3">
      <c r="B210" s="1"/>
    </row>
    <row r="211" spans="2:2" ht="15.6" x14ac:dyDescent="0.3">
      <c r="B211" s="1"/>
    </row>
    <row r="212" spans="2:2" ht="15.6" x14ac:dyDescent="0.3">
      <c r="B212" s="1"/>
    </row>
    <row r="213" spans="2:2" ht="15.6" x14ac:dyDescent="0.3">
      <c r="B213" s="1"/>
    </row>
    <row r="214" spans="2:2" ht="15.6" x14ac:dyDescent="0.3">
      <c r="B214" s="1"/>
    </row>
    <row r="215" spans="2:2" ht="15.6" x14ac:dyDescent="0.3">
      <c r="B215" s="1"/>
    </row>
    <row r="216" spans="2:2" ht="15.6" x14ac:dyDescent="0.3">
      <c r="B216" s="1"/>
    </row>
    <row r="217" spans="2:2" ht="15.6" x14ac:dyDescent="0.3">
      <c r="B217" s="1"/>
    </row>
    <row r="218" spans="2:2" ht="15.6" x14ac:dyDescent="0.3">
      <c r="B218" s="1"/>
    </row>
    <row r="219" spans="2:2" ht="15.6" x14ac:dyDescent="0.3">
      <c r="B219" s="1"/>
    </row>
    <row r="220" spans="2:2" ht="15.6" x14ac:dyDescent="0.3">
      <c r="B220" s="1"/>
    </row>
    <row r="221" spans="2:2" ht="15.6" x14ac:dyDescent="0.3">
      <c r="B221" s="1"/>
    </row>
    <row r="222" spans="2:2" ht="15.6" x14ac:dyDescent="0.3">
      <c r="B222" s="1"/>
    </row>
    <row r="223" spans="2:2" ht="15.6" x14ac:dyDescent="0.3">
      <c r="B223" s="1"/>
    </row>
    <row r="224" spans="2:2" ht="15.6" x14ac:dyDescent="0.3">
      <c r="B224" s="1"/>
    </row>
    <row r="225" spans="2:2" ht="15.6" x14ac:dyDescent="0.3">
      <c r="B225" s="1"/>
    </row>
    <row r="226" spans="2:2" ht="15.6" x14ac:dyDescent="0.3">
      <c r="B226" s="1"/>
    </row>
    <row r="227" spans="2:2" ht="15.6" x14ac:dyDescent="0.3">
      <c r="B227" s="1"/>
    </row>
    <row r="228" spans="2:2" ht="15.6" x14ac:dyDescent="0.3">
      <c r="B228" s="1"/>
    </row>
    <row r="229" spans="2:2" ht="15.6" x14ac:dyDescent="0.3">
      <c r="B229" s="1"/>
    </row>
    <row r="230" spans="2:2" ht="15.6" x14ac:dyDescent="0.3">
      <c r="B230" s="1"/>
    </row>
    <row r="231" spans="2:2" ht="15.6" x14ac:dyDescent="0.3">
      <c r="B231" s="1"/>
    </row>
    <row r="232" spans="2:2" ht="15.6" x14ac:dyDescent="0.3">
      <c r="B232" s="1"/>
    </row>
    <row r="233" spans="2:2" ht="15.6" x14ac:dyDescent="0.3">
      <c r="B233" s="1"/>
    </row>
    <row r="234" spans="2:2" ht="15.6" x14ac:dyDescent="0.3">
      <c r="B234" s="1"/>
    </row>
    <row r="235" spans="2:2" ht="15.6" x14ac:dyDescent="0.3">
      <c r="B235" s="1"/>
    </row>
    <row r="236" spans="2:2" ht="15.6" x14ac:dyDescent="0.3">
      <c r="B236" s="1"/>
    </row>
    <row r="237" spans="2:2" ht="15.6" x14ac:dyDescent="0.3">
      <c r="B237" s="1"/>
    </row>
    <row r="238" spans="2:2" ht="15.6" x14ac:dyDescent="0.3">
      <c r="B238" s="1"/>
    </row>
    <row r="239" spans="2:2" ht="15.6" x14ac:dyDescent="0.3">
      <c r="B239" s="1"/>
    </row>
    <row r="240" spans="2:2" ht="15.6" x14ac:dyDescent="0.3">
      <c r="B240" s="1"/>
    </row>
    <row r="241" spans="2:2" ht="15.6" x14ac:dyDescent="0.3">
      <c r="B241" s="1"/>
    </row>
    <row r="242" spans="2:2" ht="15.6" x14ac:dyDescent="0.3">
      <c r="B242" s="1"/>
    </row>
    <row r="243" spans="2:2" ht="15.6" x14ac:dyDescent="0.3">
      <c r="B243" s="1"/>
    </row>
    <row r="244" spans="2:2" ht="15.6" x14ac:dyDescent="0.3">
      <c r="B244" s="1"/>
    </row>
    <row r="245" spans="2:2" ht="15.6" x14ac:dyDescent="0.3">
      <c r="B245" s="1"/>
    </row>
    <row r="246" spans="2:2" ht="15.6" x14ac:dyDescent="0.3">
      <c r="B246" s="1"/>
    </row>
    <row r="247" spans="2:2" ht="15.6" x14ac:dyDescent="0.3">
      <c r="B247" s="1"/>
    </row>
    <row r="248" spans="2:2" ht="15.6" x14ac:dyDescent="0.3">
      <c r="B248" s="1"/>
    </row>
    <row r="249" spans="2:2" ht="15.6" x14ac:dyDescent="0.3">
      <c r="B249" s="1"/>
    </row>
    <row r="250" spans="2:2" ht="15.6" x14ac:dyDescent="0.3">
      <c r="B250" s="1"/>
    </row>
    <row r="251" spans="2:2" ht="15.6" x14ac:dyDescent="0.3">
      <c r="B251" s="1"/>
    </row>
    <row r="252" spans="2:2" ht="15.6" x14ac:dyDescent="0.3">
      <c r="B252" s="1"/>
    </row>
    <row r="253" spans="2:2" ht="15.6" x14ac:dyDescent="0.3">
      <c r="B253" s="1"/>
    </row>
  </sheetData>
  <mergeCells count="14">
    <mergeCell ref="B63:C63"/>
    <mergeCell ref="B42:C42"/>
    <mergeCell ref="B47:C47"/>
    <mergeCell ref="B52:C52"/>
    <mergeCell ref="B57:C57"/>
    <mergeCell ref="B7:C7"/>
    <mergeCell ref="B13:C13"/>
    <mergeCell ref="B8:C8"/>
    <mergeCell ref="B41:C41"/>
    <mergeCell ref="B19:C19"/>
    <mergeCell ref="B20:C20"/>
    <mergeCell ref="B25:C25"/>
    <mergeCell ref="B30:C30"/>
    <mergeCell ref="B35:C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3C19-3164-40B7-8270-899FC042909E}">
  <dimension ref="B2:D253"/>
  <sheetViews>
    <sheetView topLeftCell="A27" zoomScale="120" zoomScaleNormal="90" workbookViewId="0">
      <selection activeCell="C37" sqref="C37"/>
    </sheetView>
  </sheetViews>
  <sheetFormatPr baseColWidth="10" defaultRowHeight="14.4" x14ac:dyDescent="0.3"/>
  <cols>
    <col min="2" max="2" width="143.109375" bestFit="1" customWidth="1"/>
  </cols>
  <sheetData>
    <row r="2" spans="2:4" ht="15.6" x14ac:dyDescent="0.3">
      <c r="B2" s="2" t="s">
        <v>65</v>
      </c>
    </row>
    <row r="3" spans="2:4" ht="16.2" thickBot="1" x14ac:dyDescent="0.35">
      <c r="B3" s="2" t="s">
        <v>66</v>
      </c>
    </row>
    <row r="4" spans="2:4" ht="16.2" thickBot="1" x14ac:dyDescent="0.35">
      <c r="B4" s="9" t="s">
        <v>61</v>
      </c>
      <c r="C4" s="7">
        <f>((C18+C40+C62+C68)/0.8)*20</f>
        <v>16.25</v>
      </c>
    </row>
    <row r="6" spans="2:4" ht="15" thickBot="1" x14ac:dyDescent="0.35"/>
    <row r="7" spans="2:4" ht="18.600000000000001" thickBot="1" x14ac:dyDescent="0.4">
      <c r="B7" s="16" t="s">
        <v>0</v>
      </c>
      <c r="C7" s="17"/>
    </row>
    <row r="8" spans="2:4" ht="15.6" x14ac:dyDescent="0.3">
      <c r="B8" s="18" t="s">
        <v>1</v>
      </c>
      <c r="C8" s="19"/>
    </row>
    <row r="9" spans="2:4" ht="15.6" x14ac:dyDescent="0.3">
      <c r="B9" s="4" t="s">
        <v>3</v>
      </c>
      <c r="C9" s="3">
        <v>1</v>
      </c>
      <c r="D9" s="13">
        <f>IF(C9=1,0.15,0)</f>
        <v>0.15</v>
      </c>
    </row>
    <row r="10" spans="2:4" ht="15.6" x14ac:dyDescent="0.3">
      <c r="B10" s="4" t="s">
        <v>4</v>
      </c>
      <c r="C10" s="3"/>
      <c r="D10" s="13">
        <f>IF(C10=1,0.1,0)</f>
        <v>0</v>
      </c>
    </row>
    <row r="11" spans="2:4" ht="15.6" x14ac:dyDescent="0.3">
      <c r="B11" s="4" t="s">
        <v>5</v>
      </c>
      <c r="C11" s="3"/>
      <c r="D11" s="13">
        <f>IF(C11=1,0.05,0)</f>
        <v>0</v>
      </c>
    </row>
    <row r="12" spans="2:4" ht="15.6" x14ac:dyDescent="0.3">
      <c r="B12" s="4" t="s">
        <v>6</v>
      </c>
      <c r="C12" s="3"/>
      <c r="D12" s="13">
        <v>0</v>
      </c>
    </row>
    <row r="13" spans="2:4" ht="15.6" x14ac:dyDescent="0.3">
      <c r="B13" s="14" t="s">
        <v>2</v>
      </c>
      <c r="C13" s="15"/>
      <c r="D13" s="13"/>
    </row>
    <row r="14" spans="2:4" ht="15.6" x14ac:dyDescent="0.3">
      <c r="B14" s="4" t="s">
        <v>7</v>
      </c>
      <c r="C14" s="3">
        <v>1</v>
      </c>
      <c r="D14" s="13">
        <f>IF(C14=1,0.1,0)</f>
        <v>0.1</v>
      </c>
    </row>
    <row r="15" spans="2:4" ht="15.6" x14ac:dyDescent="0.3">
      <c r="B15" s="4" t="s">
        <v>8</v>
      </c>
      <c r="C15" s="3"/>
      <c r="D15" s="13">
        <f>IF(C15=1,0.07,0)</f>
        <v>0</v>
      </c>
    </row>
    <row r="16" spans="2:4" ht="15.6" x14ac:dyDescent="0.3">
      <c r="B16" s="4" t="s">
        <v>9</v>
      </c>
      <c r="C16" s="3"/>
      <c r="D16" s="13">
        <f>IF(C16=1,0.03,0)</f>
        <v>0</v>
      </c>
    </row>
    <row r="17" spans="2:4" ht="16.2" thickBot="1" x14ac:dyDescent="0.35">
      <c r="B17" s="4" t="s">
        <v>10</v>
      </c>
      <c r="C17" s="5"/>
      <c r="D17" s="13">
        <v>0</v>
      </c>
    </row>
    <row r="18" spans="2:4" ht="16.2" thickBot="1" x14ac:dyDescent="0.35">
      <c r="B18" s="6" t="s">
        <v>58</v>
      </c>
      <c r="C18" s="7">
        <f>SUM(D9:D17)</f>
        <v>0.25</v>
      </c>
      <c r="D18" s="13"/>
    </row>
    <row r="19" spans="2:4" ht="18.600000000000001" thickBot="1" x14ac:dyDescent="0.4">
      <c r="B19" s="20" t="s">
        <v>27</v>
      </c>
      <c r="C19" s="21"/>
    </row>
    <row r="20" spans="2:4" ht="15.6" x14ac:dyDescent="0.3">
      <c r="B20" s="22" t="s">
        <v>28</v>
      </c>
      <c r="C20" s="23"/>
    </row>
    <row r="21" spans="2:4" ht="15.6" x14ac:dyDescent="0.3">
      <c r="B21" s="4" t="s">
        <v>11</v>
      </c>
      <c r="C21" s="3"/>
      <c r="D21" s="13">
        <f>IF(C21=1,0.05,0)</f>
        <v>0</v>
      </c>
    </row>
    <row r="22" spans="2:4" ht="15.6" x14ac:dyDescent="0.3">
      <c r="B22" s="4" t="s">
        <v>12</v>
      </c>
      <c r="C22" s="3">
        <v>1</v>
      </c>
      <c r="D22" s="13">
        <f>IF(C22=1,0.03,0)</f>
        <v>0.03</v>
      </c>
    </row>
    <row r="23" spans="2:4" ht="15.6" x14ac:dyDescent="0.3">
      <c r="B23" s="4" t="s">
        <v>13</v>
      </c>
      <c r="C23" s="3"/>
      <c r="D23" s="13">
        <f>IF(C23=1,0.01,0)</f>
        <v>0</v>
      </c>
    </row>
    <row r="24" spans="2:4" ht="15.6" x14ac:dyDescent="0.3">
      <c r="B24" s="4" t="s">
        <v>14</v>
      </c>
      <c r="C24" s="3"/>
      <c r="D24" s="13">
        <v>0</v>
      </c>
    </row>
    <row r="25" spans="2:4" ht="15.6" x14ac:dyDescent="0.3">
      <c r="B25" s="14" t="s">
        <v>29</v>
      </c>
      <c r="C25" s="15"/>
      <c r="D25" s="13"/>
    </row>
    <row r="26" spans="2:4" ht="15.6" x14ac:dyDescent="0.3">
      <c r="B26" s="4" t="s">
        <v>15</v>
      </c>
      <c r="C26" s="3">
        <v>1</v>
      </c>
      <c r="D26" s="13">
        <f>IF(C26=1,0.05,0)</f>
        <v>0.05</v>
      </c>
    </row>
    <row r="27" spans="2:4" ht="15.6" x14ac:dyDescent="0.3">
      <c r="B27" s="4" t="s">
        <v>16</v>
      </c>
      <c r="C27" s="3"/>
      <c r="D27" s="13">
        <f>IF(C27=1,0.03,0)</f>
        <v>0</v>
      </c>
    </row>
    <row r="28" spans="2:4" ht="15.6" x14ac:dyDescent="0.3">
      <c r="B28" s="4" t="s">
        <v>17</v>
      </c>
      <c r="C28" s="3"/>
      <c r="D28" s="13">
        <f>IF(C28=1,0.01,0)</f>
        <v>0</v>
      </c>
    </row>
    <row r="29" spans="2:4" ht="15.6" x14ac:dyDescent="0.3">
      <c r="B29" s="4" t="s">
        <v>18</v>
      </c>
      <c r="C29" s="3"/>
      <c r="D29" s="13">
        <v>0</v>
      </c>
    </row>
    <row r="30" spans="2:4" ht="15.6" x14ac:dyDescent="0.3">
      <c r="B30" s="14" t="s">
        <v>30</v>
      </c>
      <c r="C30" s="15"/>
      <c r="D30" s="13"/>
    </row>
    <row r="31" spans="2:4" ht="15.6" x14ac:dyDescent="0.3">
      <c r="B31" s="4" t="s">
        <v>19</v>
      </c>
      <c r="C31" s="3">
        <v>1</v>
      </c>
      <c r="D31" s="13">
        <f>IF(C31=1,0.05,0)</f>
        <v>0.05</v>
      </c>
    </row>
    <row r="32" spans="2:4" ht="15.6" x14ac:dyDescent="0.3">
      <c r="B32" s="4" t="s">
        <v>20</v>
      </c>
      <c r="C32" s="3"/>
      <c r="D32" s="13">
        <f>IF(C32=1,0.03,0)</f>
        <v>0</v>
      </c>
    </row>
    <row r="33" spans="2:4" ht="15.6" x14ac:dyDescent="0.3">
      <c r="B33" s="4" t="s">
        <v>21</v>
      </c>
      <c r="C33" s="3"/>
      <c r="D33" s="13">
        <f>IF(C33=1,0.01,0)</f>
        <v>0</v>
      </c>
    </row>
    <row r="34" spans="2:4" ht="15.6" x14ac:dyDescent="0.3">
      <c r="B34" s="4" t="s">
        <v>22</v>
      </c>
      <c r="C34" s="3"/>
      <c r="D34" s="13">
        <v>0</v>
      </c>
    </row>
    <row r="35" spans="2:4" ht="15.6" x14ac:dyDescent="0.3">
      <c r="B35" s="14" t="s">
        <v>31</v>
      </c>
      <c r="C35" s="15"/>
      <c r="D35" s="13"/>
    </row>
    <row r="36" spans="2:4" ht="15.6" x14ac:dyDescent="0.3">
      <c r="B36" s="4" t="s">
        <v>23</v>
      </c>
      <c r="C36" s="3">
        <v>1</v>
      </c>
      <c r="D36" s="13">
        <f>IF(C36=1,0.05,0)</f>
        <v>0.05</v>
      </c>
    </row>
    <row r="37" spans="2:4" ht="15.6" x14ac:dyDescent="0.3">
      <c r="B37" s="4" t="s">
        <v>24</v>
      </c>
      <c r="C37" s="3"/>
      <c r="D37" s="13">
        <f>IF(C37=1,0.03,0)</f>
        <v>0</v>
      </c>
    </row>
    <row r="38" spans="2:4" ht="15.6" x14ac:dyDescent="0.3">
      <c r="B38" s="4" t="s">
        <v>25</v>
      </c>
      <c r="C38" s="3"/>
      <c r="D38" s="13">
        <f>IF(C38=1,0.01,0)</f>
        <v>0</v>
      </c>
    </row>
    <row r="39" spans="2:4" ht="16.2" thickBot="1" x14ac:dyDescent="0.35">
      <c r="B39" s="4" t="s">
        <v>26</v>
      </c>
      <c r="C39" s="5"/>
      <c r="D39" s="13">
        <v>0</v>
      </c>
    </row>
    <row r="40" spans="2:4" ht="16.2" thickBot="1" x14ac:dyDescent="0.35">
      <c r="B40" s="6" t="s">
        <v>58</v>
      </c>
      <c r="C40" s="10">
        <f>SUM(D21:D39)</f>
        <v>0.18</v>
      </c>
      <c r="D40" s="13"/>
    </row>
    <row r="41" spans="2:4" ht="18.600000000000001" thickBot="1" x14ac:dyDescent="0.4">
      <c r="B41" s="20" t="s">
        <v>48</v>
      </c>
      <c r="C41" s="21"/>
    </row>
    <row r="42" spans="2:4" ht="15.6" x14ac:dyDescent="0.3">
      <c r="B42" s="22" t="s">
        <v>49</v>
      </c>
      <c r="C42" s="23"/>
    </row>
    <row r="43" spans="2:4" ht="15.6" x14ac:dyDescent="0.3">
      <c r="B43" s="4" t="s">
        <v>32</v>
      </c>
      <c r="C43" s="3">
        <v>1</v>
      </c>
      <c r="D43" s="13">
        <f>IF(C43=1,0.05,0)</f>
        <v>0.05</v>
      </c>
    </row>
    <row r="44" spans="2:4" ht="15.6" x14ac:dyDescent="0.3">
      <c r="B44" s="4" t="s">
        <v>33</v>
      </c>
      <c r="C44" s="3"/>
      <c r="D44" s="13">
        <f>IF(C44=1,0.03,0)</f>
        <v>0</v>
      </c>
    </row>
    <row r="45" spans="2:4" ht="15.6" x14ac:dyDescent="0.3">
      <c r="B45" s="4" t="s">
        <v>34</v>
      </c>
      <c r="C45" s="3"/>
      <c r="D45" s="13">
        <f>IF(C45=1,0.01,0)</f>
        <v>0</v>
      </c>
    </row>
    <row r="46" spans="2:4" ht="15.6" x14ac:dyDescent="0.3">
      <c r="B46" s="4" t="s">
        <v>35</v>
      </c>
      <c r="C46" s="3"/>
      <c r="D46" s="13">
        <v>0</v>
      </c>
    </row>
    <row r="47" spans="2:4" ht="15.6" x14ac:dyDescent="0.3">
      <c r="B47" s="14" t="s">
        <v>50</v>
      </c>
      <c r="C47" s="15"/>
    </row>
    <row r="48" spans="2:4" ht="15.6" x14ac:dyDescent="0.3">
      <c r="B48" s="4" t="s">
        <v>36</v>
      </c>
      <c r="C48" s="3"/>
      <c r="D48" s="13">
        <f>IF(C48=1,0.05,0)</f>
        <v>0</v>
      </c>
    </row>
    <row r="49" spans="2:4" ht="15.6" x14ac:dyDescent="0.3">
      <c r="B49" s="4" t="s">
        <v>37</v>
      </c>
      <c r="C49" s="3">
        <v>1</v>
      </c>
      <c r="D49" s="13">
        <f>IF(C49=1,0.03,0)</f>
        <v>0.03</v>
      </c>
    </row>
    <row r="50" spans="2:4" ht="15.6" x14ac:dyDescent="0.3">
      <c r="B50" s="4" t="s">
        <v>38</v>
      </c>
      <c r="C50" s="3"/>
      <c r="D50" s="13">
        <f>IF(C50=1,0.01,0)</f>
        <v>0</v>
      </c>
    </row>
    <row r="51" spans="2:4" ht="15.6" x14ac:dyDescent="0.3">
      <c r="B51" s="4" t="s">
        <v>39</v>
      </c>
      <c r="C51" s="3"/>
      <c r="D51" s="13">
        <v>0</v>
      </c>
    </row>
    <row r="52" spans="2:4" ht="15.6" x14ac:dyDescent="0.3">
      <c r="B52" s="14" t="s">
        <v>51</v>
      </c>
      <c r="C52" s="15"/>
    </row>
    <row r="53" spans="2:4" ht="15.6" x14ac:dyDescent="0.3">
      <c r="B53" s="4" t="s">
        <v>40</v>
      </c>
      <c r="C53" s="3"/>
      <c r="D53" s="13">
        <f>IF(C53=1,0.05,0)</f>
        <v>0</v>
      </c>
    </row>
    <row r="54" spans="2:4" ht="15.6" x14ac:dyDescent="0.3">
      <c r="B54" s="4" t="s">
        <v>41</v>
      </c>
      <c r="C54" s="3"/>
      <c r="D54" s="13">
        <f>IF(C54=1,0.03,0)</f>
        <v>0</v>
      </c>
    </row>
    <row r="55" spans="2:4" ht="15.6" x14ac:dyDescent="0.3">
      <c r="B55" s="4" t="s">
        <v>42</v>
      </c>
      <c r="C55" s="3">
        <v>1</v>
      </c>
      <c r="D55" s="13">
        <f>IF(C55=1,0.01,0)</f>
        <v>0.01</v>
      </c>
    </row>
    <row r="56" spans="2:4" ht="15.6" x14ac:dyDescent="0.3">
      <c r="B56" s="4" t="s">
        <v>43</v>
      </c>
      <c r="C56" s="3"/>
      <c r="D56" s="13">
        <v>0</v>
      </c>
    </row>
    <row r="57" spans="2:4" ht="15.6" x14ac:dyDescent="0.3">
      <c r="B57" s="14" t="s">
        <v>52</v>
      </c>
      <c r="C57" s="15"/>
    </row>
    <row r="58" spans="2:4" ht="15.6" x14ac:dyDescent="0.3">
      <c r="B58" s="4" t="s">
        <v>44</v>
      </c>
      <c r="C58" s="3"/>
      <c r="D58" s="13">
        <f>IF(C58=1,0.05,0)</f>
        <v>0</v>
      </c>
    </row>
    <row r="59" spans="2:4" ht="15.6" x14ac:dyDescent="0.3">
      <c r="B59" s="4" t="s">
        <v>45</v>
      </c>
      <c r="C59" s="3">
        <v>1</v>
      </c>
      <c r="D59" s="13">
        <f>IF(C59=1,0.03,0)</f>
        <v>0.03</v>
      </c>
    </row>
    <row r="60" spans="2:4" ht="15.6" x14ac:dyDescent="0.3">
      <c r="B60" s="4" t="s">
        <v>46</v>
      </c>
      <c r="C60" s="3"/>
      <c r="D60" s="13">
        <f>IF(C60=1,0.01,0)</f>
        <v>0</v>
      </c>
    </row>
    <row r="61" spans="2:4" ht="16.2" thickBot="1" x14ac:dyDescent="0.35">
      <c r="B61" s="4" t="s">
        <v>47</v>
      </c>
      <c r="C61" s="5"/>
      <c r="D61" s="13">
        <v>0</v>
      </c>
    </row>
    <row r="62" spans="2:4" ht="16.2" thickBot="1" x14ac:dyDescent="0.35">
      <c r="B62" s="6" t="s">
        <v>58</v>
      </c>
      <c r="C62" s="10">
        <f>SUM(D43:D61)</f>
        <v>0.12</v>
      </c>
    </row>
    <row r="63" spans="2:4" ht="18.600000000000001" thickBot="1" x14ac:dyDescent="0.4">
      <c r="B63" s="20" t="s">
        <v>57</v>
      </c>
      <c r="C63" s="21"/>
    </row>
    <row r="64" spans="2:4" ht="15.6" x14ac:dyDescent="0.3">
      <c r="B64" s="12" t="s">
        <v>53</v>
      </c>
      <c r="C64" s="11"/>
      <c r="D64" s="13">
        <f t="shared" ref="D64" si="0">IF(C64=1,0.15,0)</f>
        <v>0</v>
      </c>
    </row>
    <row r="65" spans="2:4" ht="15.6" x14ac:dyDescent="0.3">
      <c r="B65" s="4" t="s">
        <v>54</v>
      </c>
      <c r="C65" s="3">
        <v>1</v>
      </c>
      <c r="D65" s="13">
        <f>IF(C65=1,0.1,0)</f>
        <v>0.1</v>
      </c>
    </row>
    <row r="66" spans="2:4" ht="15.6" x14ac:dyDescent="0.3">
      <c r="B66" s="4" t="s">
        <v>55</v>
      </c>
      <c r="C66" s="3"/>
      <c r="D66" s="13">
        <f>IF(C66=1,0.05,0)</f>
        <v>0</v>
      </c>
    </row>
    <row r="67" spans="2:4" ht="16.2" thickBot="1" x14ac:dyDescent="0.35">
      <c r="B67" s="4" t="s">
        <v>56</v>
      </c>
      <c r="C67" s="5"/>
      <c r="D67" s="13">
        <v>0</v>
      </c>
    </row>
    <row r="68" spans="2:4" ht="16.2" thickBot="1" x14ac:dyDescent="0.35">
      <c r="B68" s="8" t="s">
        <v>58</v>
      </c>
      <c r="C68" s="7">
        <f>SUM(D64:D67)</f>
        <v>0.1</v>
      </c>
    </row>
    <row r="69" spans="2:4" ht="15.6" x14ac:dyDescent="0.3">
      <c r="B69" s="2"/>
    </row>
    <row r="70" spans="2:4" ht="15.6" x14ac:dyDescent="0.3">
      <c r="B70" s="2"/>
    </row>
    <row r="71" spans="2:4" ht="15.6" x14ac:dyDescent="0.3">
      <c r="B71" s="2"/>
    </row>
    <row r="72" spans="2:4" ht="15.6" x14ac:dyDescent="0.3">
      <c r="B72" s="2"/>
    </row>
    <row r="73" spans="2:4" ht="15.6" x14ac:dyDescent="0.3">
      <c r="B73" s="2"/>
    </row>
    <row r="74" spans="2:4" ht="15.6" x14ac:dyDescent="0.3">
      <c r="B74" s="2"/>
    </row>
    <row r="75" spans="2:4" ht="15.6" x14ac:dyDescent="0.3">
      <c r="B75" s="2"/>
    </row>
    <row r="76" spans="2:4" ht="15.6" x14ac:dyDescent="0.3">
      <c r="B76" s="2"/>
    </row>
    <row r="77" spans="2:4" ht="15.6" x14ac:dyDescent="0.3">
      <c r="B77" s="2"/>
    </row>
    <row r="78" spans="2:4" ht="15.6" x14ac:dyDescent="0.3">
      <c r="B78" s="2"/>
    </row>
    <row r="79" spans="2:4" ht="15.6" x14ac:dyDescent="0.3">
      <c r="B79" s="2"/>
    </row>
    <row r="80" spans="2:4" ht="15.6" x14ac:dyDescent="0.3">
      <c r="B80" s="2"/>
    </row>
    <row r="81" spans="2:2" ht="15.6" x14ac:dyDescent="0.3">
      <c r="B81" s="2"/>
    </row>
    <row r="82" spans="2:2" ht="15.6" x14ac:dyDescent="0.3">
      <c r="B82" s="2"/>
    </row>
    <row r="83" spans="2:2" ht="15.6" x14ac:dyDescent="0.3">
      <c r="B83" s="2"/>
    </row>
    <row r="84" spans="2:2" ht="15.6" x14ac:dyDescent="0.3">
      <c r="B84" s="2"/>
    </row>
    <row r="85" spans="2:2" ht="15.6" x14ac:dyDescent="0.3">
      <c r="B85" s="2"/>
    </row>
    <row r="86" spans="2:2" ht="15.6" x14ac:dyDescent="0.3">
      <c r="B86" s="2"/>
    </row>
    <row r="87" spans="2:2" ht="15.6" x14ac:dyDescent="0.3">
      <c r="B87" s="2"/>
    </row>
    <row r="88" spans="2:2" ht="15.6" x14ac:dyDescent="0.3">
      <c r="B88" s="2"/>
    </row>
    <row r="89" spans="2:2" ht="15.6" x14ac:dyDescent="0.3">
      <c r="B89" s="2"/>
    </row>
    <row r="90" spans="2:2" ht="15.6" x14ac:dyDescent="0.3">
      <c r="B90" s="2"/>
    </row>
    <row r="91" spans="2:2" ht="15.6" x14ac:dyDescent="0.3">
      <c r="B91" s="2"/>
    </row>
    <row r="92" spans="2:2" ht="15.6" x14ac:dyDescent="0.3">
      <c r="B92" s="2"/>
    </row>
    <row r="93" spans="2:2" ht="15.6" x14ac:dyDescent="0.3">
      <c r="B93" s="2"/>
    </row>
    <row r="94" spans="2:2" ht="15.6" x14ac:dyDescent="0.3">
      <c r="B94" s="2"/>
    </row>
    <row r="95" spans="2:2" ht="15.6" x14ac:dyDescent="0.3">
      <c r="B95" s="2"/>
    </row>
    <row r="96" spans="2:2" ht="15.6" x14ac:dyDescent="0.3">
      <c r="B96" s="2"/>
    </row>
    <row r="97" spans="2:2" ht="15.6" x14ac:dyDescent="0.3">
      <c r="B97" s="2"/>
    </row>
    <row r="98" spans="2:2" ht="15.6" x14ac:dyDescent="0.3">
      <c r="B98" s="2"/>
    </row>
    <row r="99" spans="2:2" ht="15.6" x14ac:dyDescent="0.3">
      <c r="B99" s="2"/>
    </row>
    <row r="100" spans="2:2" ht="15.6" x14ac:dyDescent="0.3">
      <c r="B100" s="2"/>
    </row>
    <row r="101" spans="2:2" ht="15.6" x14ac:dyDescent="0.3">
      <c r="B101" s="2"/>
    </row>
    <row r="102" spans="2:2" ht="15.6" x14ac:dyDescent="0.3">
      <c r="B102" s="2"/>
    </row>
    <row r="103" spans="2:2" ht="15.6" x14ac:dyDescent="0.3">
      <c r="B103" s="2"/>
    </row>
    <row r="104" spans="2:2" ht="15.6" x14ac:dyDescent="0.3">
      <c r="B104" s="2"/>
    </row>
    <row r="105" spans="2:2" ht="15.6" x14ac:dyDescent="0.3">
      <c r="B105" s="2"/>
    </row>
    <row r="106" spans="2:2" ht="15.6" x14ac:dyDescent="0.3">
      <c r="B106" s="2"/>
    </row>
    <row r="107" spans="2:2" ht="15.6" x14ac:dyDescent="0.3">
      <c r="B107" s="2"/>
    </row>
    <row r="108" spans="2:2" ht="15.6" x14ac:dyDescent="0.3">
      <c r="B108" s="2"/>
    </row>
    <row r="109" spans="2:2" ht="15.6" x14ac:dyDescent="0.3">
      <c r="B109" s="2"/>
    </row>
    <row r="110" spans="2:2" ht="15.6" x14ac:dyDescent="0.3">
      <c r="B110" s="2"/>
    </row>
    <row r="111" spans="2:2" ht="15.6" x14ac:dyDescent="0.3">
      <c r="B111" s="2"/>
    </row>
    <row r="112" spans="2:2" ht="15.6" x14ac:dyDescent="0.3">
      <c r="B112" s="2"/>
    </row>
    <row r="113" spans="2:2" ht="15.6" x14ac:dyDescent="0.3">
      <c r="B113" s="2"/>
    </row>
    <row r="114" spans="2:2" ht="15.6" x14ac:dyDescent="0.3">
      <c r="B114" s="2"/>
    </row>
    <row r="115" spans="2:2" ht="15.6" x14ac:dyDescent="0.3">
      <c r="B115" s="2"/>
    </row>
    <row r="116" spans="2:2" ht="15.6" x14ac:dyDescent="0.3">
      <c r="B116" s="2"/>
    </row>
    <row r="117" spans="2:2" ht="15.6" x14ac:dyDescent="0.3">
      <c r="B117" s="2"/>
    </row>
    <row r="118" spans="2:2" ht="15.6" x14ac:dyDescent="0.3">
      <c r="B118" s="2"/>
    </row>
    <row r="119" spans="2:2" ht="15.6" x14ac:dyDescent="0.3">
      <c r="B119" s="2"/>
    </row>
    <row r="120" spans="2:2" ht="15.6" x14ac:dyDescent="0.3">
      <c r="B120" s="2"/>
    </row>
    <row r="121" spans="2:2" ht="15.6" x14ac:dyDescent="0.3">
      <c r="B121" s="2"/>
    </row>
    <row r="122" spans="2:2" ht="15.6" x14ac:dyDescent="0.3">
      <c r="B122" s="2"/>
    </row>
    <row r="123" spans="2:2" ht="15.6" x14ac:dyDescent="0.3">
      <c r="B123" s="2"/>
    </row>
    <row r="124" spans="2:2" ht="15.6" x14ac:dyDescent="0.3">
      <c r="B124" s="2"/>
    </row>
    <row r="125" spans="2:2" ht="15.6" x14ac:dyDescent="0.3">
      <c r="B125" s="2"/>
    </row>
    <row r="126" spans="2:2" ht="15.6" x14ac:dyDescent="0.3">
      <c r="B126" s="1"/>
    </row>
    <row r="127" spans="2:2" ht="15.6" x14ac:dyDescent="0.3">
      <c r="B127" s="1"/>
    </row>
    <row r="128" spans="2:2" ht="15.6" x14ac:dyDescent="0.3">
      <c r="B128" s="1"/>
    </row>
    <row r="129" spans="2:2" ht="15.6" x14ac:dyDescent="0.3">
      <c r="B129" s="1"/>
    </row>
    <row r="130" spans="2:2" ht="15.6" x14ac:dyDescent="0.3">
      <c r="B130" s="1"/>
    </row>
    <row r="131" spans="2:2" ht="15.6" x14ac:dyDescent="0.3">
      <c r="B131" s="1"/>
    </row>
    <row r="132" spans="2:2" ht="15.6" x14ac:dyDescent="0.3">
      <c r="B132" s="1"/>
    </row>
    <row r="133" spans="2:2" ht="15.6" x14ac:dyDescent="0.3">
      <c r="B133" s="1"/>
    </row>
    <row r="134" spans="2:2" ht="15.6" x14ac:dyDescent="0.3">
      <c r="B134" s="1"/>
    </row>
    <row r="135" spans="2:2" ht="15.6" x14ac:dyDescent="0.3">
      <c r="B135" s="1"/>
    </row>
    <row r="136" spans="2:2" ht="15.6" x14ac:dyDescent="0.3">
      <c r="B136" s="1"/>
    </row>
    <row r="137" spans="2:2" ht="15.6" x14ac:dyDescent="0.3">
      <c r="B137" s="1"/>
    </row>
    <row r="138" spans="2:2" ht="15.6" x14ac:dyDescent="0.3">
      <c r="B138" s="1"/>
    </row>
    <row r="139" spans="2:2" ht="15.6" x14ac:dyDescent="0.3">
      <c r="B139" s="1"/>
    </row>
    <row r="140" spans="2:2" ht="15.6" x14ac:dyDescent="0.3">
      <c r="B140" s="1"/>
    </row>
    <row r="141" spans="2:2" ht="15.6" x14ac:dyDescent="0.3">
      <c r="B141" s="1"/>
    </row>
    <row r="142" spans="2:2" ht="15.6" x14ac:dyDescent="0.3">
      <c r="B142" s="1"/>
    </row>
    <row r="143" spans="2:2" ht="15.6" x14ac:dyDescent="0.3">
      <c r="B143" s="1"/>
    </row>
    <row r="144" spans="2:2" ht="15.6" x14ac:dyDescent="0.3">
      <c r="B144" s="1"/>
    </row>
    <row r="145" spans="2:2" ht="15.6" x14ac:dyDescent="0.3">
      <c r="B145" s="1"/>
    </row>
    <row r="146" spans="2:2" ht="15.6" x14ac:dyDescent="0.3">
      <c r="B146" s="1"/>
    </row>
    <row r="147" spans="2:2" ht="15.6" x14ac:dyDescent="0.3">
      <c r="B147" s="1"/>
    </row>
    <row r="148" spans="2:2" ht="15.6" x14ac:dyDescent="0.3">
      <c r="B148" s="1"/>
    </row>
    <row r="149" spans="2:2" ht="15.6" x14ac:dyDescent="0.3">
      <c r="B149" s="1"/>
    </row>
    <row r="150" spans="2:2" ht="15.6" x14ac:dyDescent="0.3">
      <c r="B150" s="1"/>
    </row>
    <row r="151" spans="2:2" ht="15.6" x14ac:dyDescent="0.3">
      <c r="B151" s="1"/>
    </row>
    <row r="152" spans="2:2" ht="15.6" x14ac:dyDescent="0.3">
      <c r="B152" s="1"/>
    </row>
    <row r="153" spans="2:2" ht="15.6" x14ac:dyDescent="0.3">
      <c r="B153" s="1"/>
    </row>
    <row r="154" spans="2:2" ht="15.6" x14ac:dyDescent="0.3">
      <c r="B154" s="1"/>
    </row>
    <row r="155" spans="2:2" ht="15.6" x14ac:dyDescent="0.3">
      <c r="B155" s="1"/>
    </row>
    <row r="156" spans="2:2" ht="15.6" x14ac:dyDescent="0.3">
      <c r="B156" s="1"/>
    </row>
    <row r="157" spans="2:2" ht="15.6" x14ac:dyDescent="0.3">
      <c r="B157" s="1"/>
    </row>
    <row r="158" spans="2:2" ht="15.6" x14ac:dyDescent="0.3">
      <c r="B158" s="1"/>
    </row>
    <row r="159" spans="2:2" ht="15.6" x14ac:dyDescent="0.3">
      <c r="B159" s="1"/>
    </row>
    <row r="160" spans="2:2" ht="15.6" x14ac:dyDescent="0.3">
      <c r="B160" s="1"/>
    </row>
    <row r="161" spans="2:2" ht="15.6" x14ac:dyDescent="0.3">
      <c r="B161" s="1"/>
    </row>
    <row r="162" spans="2:2" ht="15.6" x14ac:dyDescent="0.3">
      <c r="B162" s="1"/>
    </row>
    <row r="163" spans="2:2" ht="15.6" x14ac:dyDescent="0.3">
      <c r="B163" s="1"/>
    </row>
    <row r="164" spans="2:2" ht="15.6" x14ac:dyDescent="0.3">
      <c r="B164" s="1"/>
    </row>
    <row r="165" spans="2:2" ht="15.6" x14ac:dyDescent="0.3">
      <c r="B165" s="1"/>
    </row>
    <row r="166" spans="2:2" ht="15.6" x14ac:dyDescent="0.3">
      <c r="B166" s="1"/>
    </row>
    <row r="167" spans="2:2" ht="15.6" x14ac:dyDescent="0.3">
      <c r="B167" s="1"/>
    </row>
    <row r="168" spans="2:2" ht="15.6" x14ac:dyDescent="0.3">
      <c r="B168" s="1"/>
    </row>
    <row r="169" spans="2:2" ht="15.6" x14ac:dyDescent="0.3">
      <c r="B169" s="1"/>
    </row>
    <row r="170" spans="2:2" ht="15.6" x14ac:dyDescent="0.3">
      <c r="B170" s="1"/>
    </row>
    <row r="171" spans="2:2" ht="15.6" x14ac:dyDescent="0.3">
      <c r="B171" s="1"/>
    </row>
    <row r="172" spans="2:2" ht="15.6" x14ac:dyDescent="0.3">
      <c r="B172" s="1"/>
    </row>
    <row r="173" spans="2:2" ht="15.6" x14ac:dyDescent="0.3">
      <c r="B173" s="1"/>
    </row>
    <row r="174" spans="2:2" ht="15.6" x14ac:dyDescent="0.3">
      <c r="B174" s="1"/>
    </row>
    <row r="175" spans="2:2" ht="15.6" x14ac:dyDescent="0.3">
      <c r="B175" s="1"/>
    </row>
    <row r="176" spans="2:2" ht="15.6" x14ac:dyDescent="0.3">
      <c r="B176" s="1"/>
    </row>
    <row r="177" spans="2:2" ht="15.6" x14ac:dyDescent="0.3">
      <c r="B177" s="1"/>
    </row>
    <row r="178" spans="2:2" ht="15.6" x14ac:dyDescent="0.3">
      <c r="B178" s="1"/>
    </row>
    <row r="179" spans="2:2" ht="15.6" x14ac:dyDescent="0.3">
      <c r="B179" s="1"/>
    </row>
    <row r="180" spans="2:2" ht="15.6" x14ac:dyDescent="0.3">
      <c r="B180" s="1"/>
    </row>
    <row r="181" spans="2:2" ht="15.6" x14ac:dyDescent="0.3">
      <c r="B181" s="1"/>
    </row>
    <row r="182" spans="2:2" ht="15.6" x14ac:dyDescent="0.3">
      <c r="B182" s="1"/>
    </row>
    <row r="183" spans="2:2" ht="15.6" x14ac:dyDescent="0.3">
      <c r="B183" s="1"/>
    </row>
    <row r="184" spans="2:2" ht="15.6" x14ac:dyDescent="0.3">
      <c r="B184" s="1"/>
    </row>
    <row r="185" spans="2:2" ht="15.6" x14ac:dyDescent="0.3">
      <c r="B185" s="1"/>
    </row>
    <row r="186" spans="2:2" ht="15.6" x14ac:dyDescent="0.3">
      <c r="B186" s="1"/>
    </row>
    <row r="187" spans="2:2" ht="15.6" x14ac:dyDescent="0.3">
      <c r="B187" s="1"/>
    </row>
    <row r="188" spans="2:2" ht="15.6" x14ac:dyDescent="0.3">
      <c r="B188" s="1"/>
    </row>
    <row r="189" spans="2:2" ht="15.6" x14ac:dyDescent="0.3">
      <c r="B189" s="1"/>
    </row>
    <row r="190" spans="2:2" ht="15.6" x14ac:dyDescent="0.3">
      <c r="B190" s="1"/>
    </row>
    <row r="191" spans="2:2" ht="15.6" x14ac:dyDescent="0.3">
      <c r="B191" s="1"/>
    </row>
    <row r="192" spans="2:2" ht="15.6" x14ac:dyDescent="0.3">
      <c r="B192" s="1"/>
    </row>
    <row r="193" spans="2:2" ht="15.6" x14ac:dyDescent="0.3">
      <c r="B193" s="1"/>
    </row>
    <row r="194" spans="2:2" ht="15.6" x14ac:dyDescent="0.3">
      <c r="B194" s="1"/>
    </row>
    <row r="195" spans="2:2" ht="15.6" x14ac:dyDescent="0.3">
      <c r="B195" s="1"/>
    </row>
    <row r="196" spans="2:2" ht="15.6" x14ac:dyDescent="0.3">
      <c r="B196" s="1"/>
    </row>
    <row r="197" spans="2:2" ht="15.6" x14ac:dyDescent="0.3">
      <c r="B197" s="1"/>
    </row>
    <row r="198" spans="2:2" ht="15.6" x14ac:dyDescent="0.3">
      <c r="B198" s="1"/>
    </row>
    <row r="199" spans="2:2" ht="15.6" x14ac:dyDescent="0.3">
      <c r="B199" s="1"/>
    </row>
    <row r="200" spans="2:2" ht="15.6" x14ac:dyDescent="0.3">
      <c r="B200" s="1"/>
    </row>
    <row r="201" spans="2:2" ht="15.6" x14ac:dyDescent="0.3">
      <c r="B201" s="1"/>
    </row>
    <row r="202" spans="2:2" ht="15.6" x14ac:dyDescent="0.3">
      <c r="B202" s="1"/>
    </row>
    <row r="203" spans="2:2" ht="15.6" x14ac:dyDescent="0.3">
      <c r="B203" s="1"/>
    </row>
    <row r="204" spans="2:2" ht="15.6" x14ac:dyDescent="0.3">
      <c r="B204" s="1"/>
    </row>
    <row r="205" spans="2:2" ht="15.6" x14ac:dyDescent="0.3">
      <c r="B205" s="1"/>
    </row>
    <row r="206" spans="2:2" ht="15.6" x14ac:dyDescent="0.3">
      <c r="B206" s="1"/>
    </row>
    <row r="207" spans="2:2" ht="15.6" x14ac:dyDescent="0.3">
      <c r="B207" s="1"/>
    </row>
    <row r="208" spans="2:2" ht="15.6" x14ac:dyDescent="0.3">
      <c r="B208" s="1"/>
    </row>
    <row r="209" spans="2:2" ht="15.6" x14ac:dyDescent="0.3">
      <c r="B209" s="1"/>
    </row>
    <row r="210" spans="2:2" ht="15.6" x14ac:dyDescent="0.3">
      <c r="B210" s="1"/>
    </row>
    <row r="211" spans="2:2" ht="15.6" x14ac:dyDescent="0.3">
      <c r="B211" s="1"/>
    </row>
    <row r="212" spans="2:2" ht="15.6" x14ac:dyDescent="0.3">
      <c r="B212" s="1"/>
    </row>
    <row r="213" spans="2:2" ht="15.6" x14ac:dyDescent="0.3">
      <c r="B213" s="1"/>
    </row>
    <row r="214" spans="2:2" ht="15.6" x14ac:dyDescent="0.3">
      <c r="B214" s="1"/>
    </row>
    <row r="215" spans="2:2" ht="15.6" x14ac:dyDescent="0.3">
      <c r="B215" s="1"/>
    </row>
    <row r="216" spans="2:2" ht="15.6" x14ac:dyDescent="0.3">
      <c r="B216" s="1"/>
    </row>
    <row r="217" spans="2:2" ht="15.6" x14ac:dyDescent="0.3">
      <c r="B217" s="1"/>
    </row>
    <row r="218" spans="2:2" ht="15.6" x14ac:dyDescent="0.3">
      <c r="B218" s="1"/>
    </row>
    <row r="219" spans="2:2" ht="15.6" x14ac:dyDescent="0.3">
      <c r="B219" s="1"/>
    </row>
    <row r="220" spans="2:2" ht="15.6" x14ac:dyDescent="0.3">
      <c r="B220" s="1"/>
    </row>
    <row r="221" spans="2:2" ht="15.6" x14ac:dyDescent="0.3">
      <c r="B221" s="1"/>
    </row>
    <row r="222" spans="2:2" ht="15.6" x14ac:dyDescent="0.3">
      <c r="B222" s="1"/>
    </row>
    <row r="223" spans="2:2" ht="15.6" x14ac:dyDescent="0.3">
      <c r="B223" s="1"/>
    </row>
    <row r="224" spans="2:2" ht="15.6" x14ac:dyDescent="0.3">
      <c r="B224" s="1"/>
    </row>
    <row r="225" spans="2:2" ht="15.6" x14ac:dyDescent="0.3">
      <c r="B225" s="1"/>
    </row>
    <row r="226" spans="2:2" ht="15.6" x14ac:dyDescent="0.3">
      <c r="B226" s="1"/>
    </row>
    <row r="227" spans="2:2" ht="15.6" x14ac:dyDescent="0.3">
      <c r="B227" s="1"/>
    </row>
    <row r="228" spans="2:2" ht="15.6" x14ac:dyDescent="0.3">
      <c r="B228" s="1"/>
    </row>
    <row r="229" spans="2:2" ht="15.6" x14ac:dyDescent="0.3">
      <c r="B229" s="1"/>
    </row>
    <row r="230" spans="2:2" ht="15.6" x14ac:dyDescent="0.3">
      <c r="B230" s="1"/>
    </row>
    <row r="231" spans="2:2" ht="15.6" x14ac:dyDescent="0.3">
      <c r="B231" s="1"/>
    </row>
    <row r="232" spans="2:2" ht="15.6" x14ac:dyDescent="0.3">
      <c r="B232" s="1"/>
    </row>
    <row r="233" spans="2:2" ht="15.6" x14ac:dyDescent="0.3">
      <c r="B233" s="1"/>
    </row>
    <row r="234" spans="2:2" ht="15.6" x14ac:dyDescent="0.3">
      <c r="B234" s="1"/>
    </row>
    <row r="235" spans="2:2" ht="15.6" x14ac:dyDescent="0.3">
      <c r="B235" s="1"/>
    </row>
    <row r="236" spans="2:2" ht="15.6" x14ac:dyDescent="0.3">
      <c r="B236" s="1"/>
    </row>
    <row r="237" spans="2:2" ht="15.6" x14ac:dyDescent="0.3">
      <c r="B237" s="1"/>
    </row>
    <row r="238" spans="2:2" ht="15.6" x14ac:dyDescent="0.3">
      <c r="B238" s="1"/>
    </row>
    <row r="239" spans="2:2" ht="15.6" x14ac:dyDescent="0.3">
      <c r="B239" s="1"/>
    </row>
    <row r="240" spans="2:2" ht="15.6" x14ac:dyDescent="0.3">
      <c r="B240" s="1"/>
    </row>
    <row r="241" spans="2:2" ht="15.6" x14ac:dyDescent="0.3">
      <c r="B241" s="1"/>
    </row>
    <row r="242" spans="2:2" ht="15.6" x14ac:dyDescent="0.3">
      <c r="B242" s="1"/>
    </row>
    <row r="243" spans="2:2" ht="15.6" x14ac:dyDescent="0.3">
      <c r="B243" s="1"/>
    </row>
    <row r="244" spans="2:2" ht="15.6" x14ac:dyDescent="0.3">
      <c r="B244" s="1"/>
    </row>
    <row r="245" spans="2:2" ht="15.6" x14ac:dyDescent="0.3">
      <c r="B245" s="1"/>
    </row>
    <row r="246" spans="2:2" ht="15.6" x14ac:dyDescent="0.3">
      <c r="B246" s="1"/>
    </row>
    <row r="247" spans="2:2" ht="15.6" x14ac:dyDescent="0.3">
      <c r="B247" s="1"/>
    </row>
    <row r="248" spans="2:2" ht="15.6" x14ac:dyDescent="0.3">
      <c r="B248" s="1"/>
    </row>
    <row r="249" spans="2:2" ht="15.6" x14ac:dyDescent="0.3">
      <c r="B249" s="1"/>
    </row>
    <row r="250" spans="2:2" ht="15.6" x14ac:dyDescent="0.3">
      <c r="B250" s="1"/>
    </row>
    <row r="251" spans="2:2" ht="15.6" x14ac:dyDescent="0.3">
      <c r="B251" s="1"/>
    </row>
    <row r="252" spans="2:2" ht="15.6" x14ac:dyDescent="0.3">
      <c r="B252" s="1"/>
    </row>
    <row r="253" spans="2:2" ht="15.6" x14ac:dyDescent="0.3">
      <c r="B253" s="1"/>
    </row>
  </sheetData>
  <mergeCells count="14">
    <mergeCell ref="B57:C57"/>
    <mergeCell ref="B63:C63"/>
    <mergeCell ref="B30:C30"/>
    <mergeCell ref="B35:C35"/>
    <mergeCell ref="B41:C41"/>
    <mergeCell ref="B42:C42"/>
    <mergeCell ref="B47:C47"/>
    <mergeCell ref="B52:C52"/>
    <mergeCell ref="B25:C25"/>
    <mergeCell ref="B7:C7"/>
    <mergeCell ref="B8:C8"/>
    <mergeCell ref="B13:C13"/>
    <mergeCell ref="B19:C19"/>
    <mergeCell ref="B20:C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B187-0F0A-4D88-A346-B7D3BDA01506}">
  <dimension ref="B2:D253"/>
  <sheetViews>
    <sheetView topLeftCell="A25" zoomScale="122" zoomScaleNormal="90" workbookViewId="0">
      <selection activeCell="C38" sqref="C38"/>
    </sheetView>
  </sheetViews>
  <sheetFormatPr baseColWidth="10" defaultRowHeight="14.4" x14ac:dyDescent="0.3"/>
  <cols>
    <col min="2" max="2" width="143.109375" bestFit="1" customWidth="1"/>
  </cols>
  <sheetData>
    <row r="2" spans="2:4" ht="15.6" x14ac:dyDescent="0.3">
      <c r="B2" s="2" t="s">
        <v>69</v>
      </c>
    </row>
    <row r="3" spans="2:4" ht="16.2" thickBot="1" x14ac:dyDescent="0.35">
      <c r="B3" s="2" t="s">
        <v>70</v>
      </c>
    </row>
    <row r="4" spans="2:4" ht="16.2" thickBot="1" x14ac:dyDescent="0.35">
      <c r="B4" s="9" t="s">
        <v>61</v>
      </c>
      <c r="C4" s="7">
        <f>((C18+C40+C62+C68)/0.8)*20</f>
        <v>14.500000000000002</v>
      </c>
    </row>
    <row r="6" spans="2:4" ht="15" thickBot="1" x14ac:dyDescent="0.35"/>
    <row r="7" spans="2:4" ht="18.600000000000001" thickBot="1" x14ac:dyDescent="0.4">
      <c r="B7" s="16" t="s">
        <v>0</v>
      </c>
      <c r="C7" s="17"/>
    </row>
    <row r="8" spans="2:4" ht="15.6" x14ac:dyDescent="0.3">
      <c r="B8" s="18" t="s">
        <v>1</v>
      </c>
      <c r="C8" s="19"/>
    </row>
    <row r="9" spans="2:4" ht="15.6" x14ac:dyDescent="0.3">
      <c r="B9" s="4" t="s">
        <v>3</v>
      </c>
      <c r="C9" s="3">
        <v>1</v>
      </c>
      <c r="D9" s="13">
        <f>IF(C9=1,0.15,0)</f>
        <v>0.15</v>
      </c>
    </row>
    <row r="10" spans="2:4" ht="15.6" x14ac:dyDescent="0.3">
      <c r="B10" s="4" t="s">
        <v>4</v>
      </c>
      <c r="C10" s="3"/>
      <c r="D10" s="13">
        <f>IF(C10=1,0.1,0)</f>
        <v>0</v>
      </c>
    </row>
    <row r="11" spans="2:4" ht="15.6" x14ac:dyDescent="0.3">
      <c r="B11" s="4" t="s">
        <v>5</v>
      </c>
      <c r="C11" s="3"/>
      <c r="D11" s="13">
        <f>IF(C11=1,0.05,0)</f>
        <v>0</v>
      </c>
    </row>
    <row r="12" spans="2:4" ht="15.6" x14ac:dyDescent="0.3">
      <c r="B12" s="4" t="s">
        <v>6</v>
      </c>
      <c r="C12" s="3"/>
      <c r="D12" s="13">
        <v>0</v>
      </c>
    </row>
    <row r="13" spans="2:4" ht="15.6" x14ac:dyDescent="0.3">
      <c r="B13" s="14" t="s">
        <v>2</v>
      </c>
      <c r="C13" s="15"/>
      <c r="D13" s="13"/>
    </row>
    <row r="14" spans="2:4" ht="15.6" x14ac:dyDescent="0.3">
      <c r="B14" s="4" t="s">
        <v>7</v>
      </c>
      <c r="C14" s="3"/>
      <c r="D14" s="13">
        <f>IF(C14=1,0.1,0)</f>
        <v>0</v>
      </c>
    </row>
    <row r="15" spans="2:4" ht="15.6" x14ac:dyDescent="0.3">
      <c r="B15" s="4" t="s">
        <v>8</v>
      </c>
      <c r="C15" s="3"/>
      <c r="D15" s="13">
        <f>IF(C15=1,0.07,0)</f>
        <v>0</v>
      </c>
    </row>
    <row r="16" spans="2:4" ht="15.6" x14ac:dyDescent="0.3">
      <c r="B16" s="4" t="s">
        <v>9</v>
      </c>
      <c r="C16" s="3"/>
      <c r="D16" s="13">
        <f>IF(C16=1,0.03,0)</f>
        <v>0</v>
      </c>
    </row>
    <row r="17" spans="2:4" ht="16.2" thickBot="1" x14ac:dyDescent="0.35">
      <c r="B17" s="4" t="s">
        <v>10</v>
      </c>
      <c r="C17" s="5"/>
      <c r="D17" s="13">
        <v>0</v>
      </c>
    </row>
    <row r="18" spans="2:4" ht="16.2" thickBot="1" x14ac:dyDescent="0.35">
      <c r="B18" s="6" t="s">
        <v>58</v>
      </c>
      <c r="C18" s="7">
        <f>SUM(D9:D17)</f>
        <v>0.15</v>
      </c>
      <c r="D18" s="13"/>
    </row>
    <row r="19" spans="2:4" ht="18.600000000000001" thickBot="1" x14ac:dyDescent="0.4">
      <c r="B19" s="20" t="s">
        <v>27</v>
      </c>
      <c r="C19" s="21"/>
    </row>
    <row r="20" spans="2:4" ht="15.6" x14ac:dyDescent="0.3">
      <c r="B20" s="22" t="s">
        <v>28</v>
      </c>
      <c r="C20" s="23"/>
    </row>
    <row r="21" spans="2:4" ht="15.6" x14ac:dyDescent="0.3">
      <c r="B21" s="4" t="s">
        <v>11</v>
      </c>
      <c r="C21" s="3">
        <v>1</v>
      </c>
      <c r="D21" s="13">
        <f>IF(C21=1,0.05,0)</f>
        <v>0.05</v>
      </c>
    </row>
    <row r="22" spans="2:4" ht="15.6" x14ac:dyDescent="0.3">
      <c r="B22" s="4" t="s">
        <v>12</v>
      </c>
      <c r="C22" s="3"/>
      <c r="D22" s="13">
        <f>IF(C22=1,0.03,0)</f>
        <v>0</v>
      </c>
    </row>
    <row r="23" spans="2:4" ht="15.6" x14ac:dyDescent="0.3">
      <c r="B23" s="4" t="s">
        <v>13</v>
      </c>
      <c r="C23" s="3"/>
      <c r="D23" s="13">
        <f>IF(C23=1,0.01,0)</f>
        <v>0</v>
      </c>
    </row>
    <row r="24" spans="2:4" ht="15.6" x14ac:dyDescent="0.3">
      <c r="B24" s="4" t="s">
        <v>14</v>
      </c>
      <c r="C24" s="3"/>
      <c r="D24" s="13">
        <v>0</v>
      </c>
    </row>
    <row r="25" spans="2:4" ht="15.6" x14ac:dyDescent="0.3">
      <c r="B25" s="14" t="s">
        <v>29</v>
      </c>
      <c r="C25" s="15"/>
      <c r="D25" s="13"/>
    </row>
    <row r="26" spans="2:4" ht="15.6" x14ac:dyDescent="0.3">
      <c r="B26" s="4" t="s">
        <v>15</v>
      </c>
      <c r="C26" s="3">
        <v>1</v>
      </c>
      <c r="D26" s="13">
        <f>IF(C26=1,0.05,0)</f>
        <v>0.05</v>
      </c>
    </row>
    <row r="27" spans="2:4" ht="15.6" x14ac:dyDescent="0.3">
      <c r="B27" s="4" t="s">
        <v>16</v>
      </c>
      <c r="C27" s="3"/>
      <c r="D27" s="13">
        <f>IF(C27=1,0.03,0)</f>
        <v>0</v>
      </c>
    </row>
    <row r="28" spans="2:4" ht="15.6" x14ac:dyDescent="0.3">
      <c r="B28" s="4" t="s">
        <v>17</v>
      </c>
      <c r="C28" s="3"/>
      <c r="D28" s="13">
        <f>IF(C28=1,0.01,0)</f>
        <v>0</v>
      </c>
    </row>
    <row r="29" spans="2:4" ht="15.6" x14ac:dyDescent="0.3">
      <c r="B29" s="4" t="s">
        <v>18</v>
      </c>
      <c r="C29" s="3"/>
      <c r="D29" s="13">
        <v>0</v>
      </c>
    </row>
    <row r="30" spans="2:4" ht="15.6" x14ac:dyDescent="0.3">
      <c r="B30" s="14" t="s">
        <v>30</v>
      </c>
      <c r="C30" s="15"/>
      <c r="D30" s="13"/>
    </row>
    <row r="31" spans="2:4" ht="15.6" x14ac:dyDescent="0.3">
      <c r="B31" s="4" t="s">
        <v>19</v>
      </c>
      <c r="C31" s="3">
        <v>1</v>
      </c>
      <c r="D31" s="13">
        <f>IF(C31=1,0.05,0)</f>
        <v>0.05</v>
      </c>
    </row>
    <row r="32" spans="2:4" ht="15.6" x14ac:dyDescent="0.3">
      <c r="B32" s="4" t="s">
        <v>20</v>
      </c>
      <c r="C32" s="3"/>
      <c r="D32" s="13">
        <f>IF(C32=1,0.03,0)</f>
        <v>0</v>
      </c>
    </row>
    <row r="33" spans="2:4" ht="15.6" x14ac:dyDescent="0.3">
      <c r="B33" s="4" t="s">
        <v>21</v>
      </c>
      <c r="C33" s="3"/>
      <c r="D33" s="13">
        <f>IF(C33=1,0.01,0)</f>
        <v>0</v>
      </c>
    </row>
    <row r="34" spans="2:4" ht="15.6" x14ac:dyDescent="0.3">
      <c r="B34" s="4" t="s">
        <v>22</v>
      </c>
      <c r="C34" s="3"/>
      <c r="D34" s="13">
        <v>0</v>
      </c>
    </row>
    <row r="35" spans="2:4" ht="15.6" x14ac:dyDescent="0.3">
      <c r="B35" s="14" t="s">
        <v>31</v>
      </c>
      <c r="C35" s="15"/>
      <c r="D35" s="13"/>
    </row>
    <row r="36" spans="2:4" ht="15.6" x14ac:dyDescent="0.3">
      <c r="B36" s="4" t="s">
        <v>23</v>
      </c>
      <c r="C36" s="3"/>
      <c r="D36" s="13">
        <f>IF(C36=1,0.05,0)</f>
        <v>0</v>
      </c>
    </row>
    <row r="37" spans="2:4" ht="15.6" x14ac:dyDescent="0.3">
      <c r="B37" s="4" t="s">
        <v>24</v>
      </c>
      <c r="C37" s="3">
        <v>1</v>
      </c>
      <c r="D37" s="13">
        <f>IF(C37=1,0.03,0)</f>
        <v>0.03</v>
      </c>
    </row>
    <row r="38" spans="2:4" ht="15.6" x14ac:dyDescent="0.3">
      <c r="B38" s="4" t="s">
        <v>25</v>
      </c>
      <c r="C38" s="3"/>
      <c r="D38" s="13">
        <f>IF(C38=1,0.01,0)</f>
        <v>0</v>
      </c>
    </row>
    <row r="39" spans="2:4" ht="16.2" thickBot="1" x14ac:dyDescent="0.35">
      <c r="B39" s="4" t="s">
        <v>26</v>
      </c>
      <c r="C39" s="5"/>
      <c r="D39" s="13">
        <v>0</v>
      </c>
    </row>
    <row r="40" spans="2:4" ht="16.2" thickBot="1" x14ac:dyDescent="0.35">
      <c r="B40" s="6" t="s">
        <v>58</v>
      </c>
      <c r="C40" s="10">
        <f>SUM(D21:D39)</f>
        <v>0.18000000000000002</v>
      </c>
      <c r="D40" s="13"/>
    </row>
    <row r="41" spans="2:4" ht="18.600000000000001" thickBot="1" x14ac:dyDescent="0.4">
      <c r="B41" s="20" t="s">
        <v>48</v>
      </c>
      <c r="C41" s="21"/>
    </row>
    <row r="42" spans="2:4" ht="15.6" x14ac:dyDescent="0.3">
      <c r="B42" s="22" t="s">
        <v>49</v>
      </c>
      <c r="C42" s="23"/>
    </row>
    <row r="43" spans="2:4" ht="15.6" x14ac:dyDescent="0.3">
      <c r="B43" s="4" t="s">
        <v>32</v>
      </c>
      <c r="C43" s="3"/>
      <c r="D43" s="13">
        <f>IF(C43=1,0.05,0)</f>
        <v>0</v>
      </c>
    </row>
    <row r="44" spans="2:4" ht="15.6" x14ac:dyDescent="0.3">
      <c r="B44" s="4" t="s">
        <v>33</v>
      </c>
      <c r="C44" s="3"/>
      <c r="D44" s="13">
        <f>IF(C44=1,0.03,0)</f>
        <v>0</v>
      </c>
    </row>
    <row r="45" spans="2:4" ht="15.6" x14ac:dyDescent="0.3">
      <c r="B45" s="4" t="s">
        <v>34</v>
      </c>
      <c r="C45" s="3">
        <v>1</v>
      </c>
      <c r="D45" s="13">
        <f>IF(C45=1,0.01,0)</f>
        <v>0.01</v>
      </c>
    </row>
    <row r="46" spans="2:4" ht="15.6" x14ac:dyDescent="0.3">
      <c r="B46" s="4" t="s">
        <v>35</v>
      </c>
      <c r="C46" s="3"/>
      <c r="D46" s="13">
        <v>0</v>
      </c>
    </row>
    <row r="47" spans="2:4" ht="15.6" x14ac:dyDescent="0.3">
      <c r="B47" s="14" t="s">
        <v>50</v>
      </c>
      <c r="C47" s="15"/>
    </row>
    <row r="48" spans="2:4" ht="15.6" x14ac:dyDescent="0.3">
      <c r="B48" s="4" t="s">
        <v>36</v>
      </c>
      <c r="C48" s="3"/>
      <c r="D48" s="13">
        <f>IF(C48=1,0.05,0)</f>
        <v>0</v>
      </c>
    </row>
    <row r="49" spans="2:4" ht="15.6" x14ac:dyDescent="0.3">
      <c r="B49" s="4" t="s">
        <v>37</v>
      </c>
      <c r="C49" s="3">
        <v>1</v>
      </c>
      <c r="D49" s="13">
        <f>IF(C49=1,0.03,0)</f>
        <v>0.03</v>
      </c>
    </row>
    <row r="50" spans="2:4" ht="15.6" x14ac:dyDescent="0.3">
      <c r="B50" s="4" t="s">
        <v>38</v>
      </c>
      <c r="C50" s="3"/>
      <c r="D50" s="13">
        <f>IF(C50=1,0.01,0)</f>
        <v>0</v>
      </c>
    </row>
    <row r="51" spans="2:4" ht="15.6" x14ac:dyDescent="0.3">
      <c r="B51" s="4" t="s">
        <v>39</v>
      </c>
      <c r="C51" s="3"/>
      <c r="D51" s="13">
        <v>0</v>
      </c>
    </row>
    <row r="52" spans="2:4" ht="15.6" x14ac:dyDescent="0.3">
      <c r="B52" s="14" t="s">
        <v>51</v>
      </c>
      <c r="C52" s="15"/>
    </row>
    <row r="53" spans="2:4" ht="15.6" x14ac:dyDescent="0.3">
      <c r="B53" s="4" t="s">
        <v>40</v>
      </c>
      <c r="C53" s="3"/>
      <c r="D53" s="13">
        <f>IF(C53=1,0.05,0)</f>
        <v>0</v>
      </c>
    </row>
    <row r="54" spans="2:4" ht="15.6" x14ac:dyDescent="0.3">
      <c r="B54" s="4" t="s">
        <v>41</v>
      </c>
      <c r="C54" s="3">
        <v>1</v>
      </c>
      <c r="D54" s="13">
        <f>IF(C54=1,0.03,0)</f>
        <v>0.03</v>
      </c>
    </row>
    <row r="55" spans="2:4" ht="15.6" x14ac:dyDescent="0.3">
      <c r="B55" s="4" t="s">
        <v>42</v>
      </c>
      <c r="C55" s="3"/>
      <c r="D55" s="13">
        <f>IF(C55=1,0.01,0)</f>
        <v>0</v>
      </c>
    </row>
    <row r="56" spans="2:4" ht="15.6" x14ac:dyDescent="0.3">
      <c r="B56" s="4" t="s">
        <v>43</v>
      </c>
      <c r="C56" s="3"/>
      <c r="D56" s="13">
        <v>0</v>
      </c>
    </row>
    <row r="57" spans="2:4" ht="15.6" x14ac:dyDescent="0.3">
      <c r="B57" s="14" t="s">
        <v>52</v>
      </c>
      <c r="C57" s="15"/>
    </row>
    <row r="58" spans="2:4" ht="15.6" x14ac:dyDescent="0.3">
      <c r="B58" s="4" t="s">
        <v>44</v>
      </c>
      <c r="C58" s="3"/>
      <c r="D58" s="13">
        <f>IF(C58=1,0.05,0)</f>
        <v>0</v>
      </c>
    </row>
    <row r="59" spans="2:4" ht="15.6" x14ac:dyDescent="0.3">
      <c r="B59" s="4" t="s">
        <v>45</v>
      </c>
      <c r="C59" s="3">
        <v>1</v>
      </c>
      <c r="D59" s="13">
        <f>IF(C59=1,0.03,0)</f>
        <v>0.03</v>
      </c>
    </row>
    <row r="60" spans="2:4" ht="15.6" x14ac:dyDescent="0.3">
      <c r="B60" s="4" t="s">
        <v>46</v>
      </c>
      <c r="C60" s="3"/>
      <c r="D60" s="13">
        <f>IF(C60=1,0.01,0)</f>
        <v>0</v>
      </c>
    </row>
    <row r="61" spans="2:4" ht="16.2" thickBot="1" x14ac:dyDescent="0.35">
      <c r="B61" s="4" t="s">
        <v>47</v>
      </c>
      <c r="C61" s="5"/>
      <c r="D61" s="13">
        <v>0</v>
      </c>
    </row>
    <row r="62" spans="2:4" ht="16.2" thickBot="1" x14ac:dyDescent="0.35">
      <c r="B62" s="6" t="s">
        <v>58</v>
      </c>
      <c r="C62" s="10">
        <f>SUM(D43:D61)</f>
        <v>0.1</v>
      </c>
    </row>
    <row r="63" spans="2:4" ht="18.600000000000001" thickBot="1" x14ac:dyDescent="0.4">
      <c r="B63" s="20" t="s">
        <v>57</v>
      </c>
      <c r="C63" s="21"/>
    </row>
    <row r="64" spans="2:4" ht="15.6" x14ac:dyDescent="0.3">
      <c r="B64" s="12" t="s">
        <v>53</v>
      </c>
      <c r="C64" s="11">
        <v>1</v>
      </c>
      <c r="D64" s="13">
        <f t="shared" ref="D64" si="0">IF(C64=1,0.15,0)</f>
        <v>0.15</v>
      </c>
    </row>
    <row r="65" spans="2:4" ht="15.6" x14ac:dyDescent="0.3">
      <c r="B65" s="4" t="s">
        <v>54</v>
      </c>
      <c r="C65" s="3"/>
      <c r="D65" s="13">
        <f>IF(C65=1,0.1,0)</f>
        <v>0</v>
      </c>
    </row>
    <row r="66" spans="2:4" ht="15.6" x14ac:dyDescent="0.3">
      <c r="B66" s="4" t="s">
        <v>55</v>
      </c>
      <c r="C66" s="3"/>
      <c r="D66" s="13">
        <f>IF(C66=1,0.05,0)</f>
        <v>0</v>
      </c>
    </row>
    <row r="67" spans="2:4" ht="16.2" thickBot="1" x14ac:dyDescent="0.35">
      <c r="B67" s="4" t="s">
        <v>56</v>
      </c>
      <c r="C67" s="5"/>
      <c r="D67" s="13">
        <v>0</v>
      </c>
    </row>
    <row r="68" spans="2:4" ht="16.2" thickBot="1" x14ac:dyDescent="0.35">
      <c r="B68" s="8" t="s">
        <v>58</v>
      </c>
      <c r="C68" s="7">
        <f>SUM(D64:D67)</f>
        <v>0.15</v>
      </c>
    </row>
    <row r="69" spans="2:4" ht="15.6" x14ac:dyDescent="0.3">
      <c r="B69" s="2"/>
    </row>
    <row r="70" spans="2:4" ht="15.6" x14ac:dyDescent="0.3">
      <c r="B70" s="2"/>
    </row>
    <row r="71" spans="2:4" ht="15.6" x14ac:dyDescent="0.3">
      <c r="B71" s="2"/>
    </row>
    <row r="72" spans="2:4" ht="15.6" x14ac:dyDescent="0.3">
      <c r="B72" s="2"/>
    </row>
    <row r="73" spans="2:4" ht="15.6" x14ac:dyDescent="0.3">
      <c r="B73" s="2"/>
    </row>
    <row r="74" spans="2:4" ht="15.6" x14ac:dyDescent="0.3">
      <c r="B74" s="2"/>
    </row>
    <row r="75" spans="2:4" ht="15.6" x14ac:dyDescent="0.3">
      <c r="B75" s="2"/>
    </row>
    <row r="76" spans="2:4" ht="15.6" x14ac:dyDescent="0.3">
      <c r="B76" s="2"/>
    </row>
    <row r="77" spans="2:4" ht="15.6" x14ac:dyDescent="0.3">
      <c r="B77" s="2"/>
    </row>
    <row r="78" spans="2:4" ht="15.6" x14ac:dyDescent="0.3">
      <c r="B78" s="2"/>
    </row>
    <row r="79" spans="2:4" ht="15.6" x14ac:dyDescent="0.3">
      <c r="B79" s="2"/>
    </row>
    <row r="80" spans="2:4" ht="15.6" x14ac:dyDescent="0.3">
      <c r="B80" s="2"/>
    </row>
    <row r="81" spans="2:2" ht="15.6" x14ac:dyDescent="0.3">
      <c r="B81" s="2"/>
    </row>
    <row r="82" spans="2:2" ht="15.6" x14ac:dyDescent="0.3">
      <c r="B82" s="2"/>
    </row>
    <row r="83" spans="2:2" ht="15.6" x14ac:dyDescent="0.3">
      <c r="B83" s="2"/>
    </row>
    <row r="84" spans="2:2" ht="15.6" x14ac:dyDescent="0.3">
      <c r="B84" s="2"/>
    </row>
    <row r="85" spans="2:2" ht="15.6" x14ac:dyDescent="0.3">
      <c r="B85" s="2"/>
    </row>
    <row r="86" spans="2:2" ht="15.6" x14ac:dyDescent="0.3">
      <c r="B86" s="2"/>
    </row>
    <row r="87" spans="2:2" ht="15.6" x14ac:dyDescent="0.3">
      <c r="B87" s="2"/>
    </row>
    <row r="88" spans="2:2" ht="15.6" x14ac:dyDescent="0.3">
      <c r="B88" s="2"/>
    </row>
    <row r="89" spans="2:2" ht="15.6" x14ac:dyDescent="0.3">
      <c r="B89" s="2"/>
    </row>
    <row r="90" spans="2:2" ht="15.6" x14ac:dyDescent="0.3">
      <c r="B90" s="2"/>
    </row>
    <row r="91" spans="2:2" ht="15.6" x14ac:dyDescent="0.3">
      <c r="B91" s="2"/>
    </row>
    <row r="92" spans="2:2" ht="15.6" x14ac:dyDescent="0.3">
      <c r="B92" s="2"/>
    </row>
    <row r="93" spans="2:2" ht="15.6" x14ac:dyDescent="0.3">
      <c r="B93" s="2"/>
    </row>
    <row r="94" spans="2:2" ht="15.6" x14ac:dyDescent="0.3">
      <c r="B94" s="2"/>
    </row>
    <row r="95" spans="2:2" ht="15.6" x14ac:dyDescent="0.3">
      <c r="B95" s="2"/>
    </row>
    <row r="96" spans="2:2" ht="15.6" x14ac:dyDescent="0.3">
      <c r="B96" s="2"/>
    </row>
    <row r="97" spans="2:2" ht="15.6" x14ac:dyDescent="0.3">
      <c r="B97" s="2"/>
    </row>
    <row r="98" spans="2:2" ht="15.6" x14ac:dyDescent="0.3">
      <c r="B98" s="2"/>
    </row>
    <row r="99" spans="2:2" ht="15.6" x14ac:dyDescent="0.3">
      <c r="B99" s="2"/>
    </row>
    <row r="100" spans="2:2" ht="15.6" x14ac:dyDescent="0.3">
      <c r="B100" s="2"/>
    </row>
    <row r="101" spans="2:2" ht="15.6" x14ac:dyDescent="0.3">
      <c r="B101" s="2"/>
    </row>
    <row r="102" spans="2:2" ht="15.6" x14ac:dyDescent="0.3">
      <c r="B102" s="2"/>
    </row>
    <row r="103" spans="2:2" ht="15.6" x14ac:dyDescent="0.3">
      <c r="B103" s="2"/>
    </row>
    <row r="104" spans="2:2" ht="15.6" x14ac:dyDescent="0.3">
      <c r="B104" s="2"/>
    </row>
    <row r="105" spans="2:2" ht="15.6" x14ac:dyDescent="0.3">
      <c r="B105" s="2"/>
    </row>
    <row r="106" spans="2:2" ht="15.6" x14ac:dyDescent="0.3">
      <c r="B106" s="2"/>
    </row>
    <row r="107" spans="2:2" ht="15.6" x14ac:dyDescent="0.3">
      <c r="B107" s="2"/>
    </row>
    <row r="108" spans="2:2" ht="15.6" x14ac:dyDescent="0.3">
      <c r="B108" s="2"/>
    </row>
    <row r="109" spans="2:2" ht="15.6" x14ac:dyDescent="0.3">
      <c r="B109" s="2"/>
    </row>
    <row r="110" spans="2:2" ht="15.6" x14ac:dyDescent="0.3">
      <c r="B110" s="2"/>
    </row>
    <row r="111" spans="2:2" ht="15.6" x14ac:dyDescent="0.3">
      <c r="B111" s="2"/>
    </row>
    <row r="112" spans="2:2" ht="15.6" x14ac:dyDescent="0.3">
      <c r="B112" s="2"/>
    </row>
    <row r="113" spans="2:2" ht="15.6" x14ac:dyDescent="0.3">
      <c r="B113" s="2"/>
    </row>
    <row r="114" spans="2:2" ht="15.6" x14ac:dyDescent="0.3">
      <c r="B114" s="2"/>
    </row>
    <row r="115" spans="2:2" ht="15.6" x14ac:dyDescent="0.3">
      <c r="B115" s="2"/>
    </row>
    <row r="116" spans="2:2" ht="15.6" x14ac:dyDescent="0.3">
      <c r="B116" s="2"/>
    </row>
    <row r="117" spans="2:2" ht="15.6" x14ac:dyDescent="0.3">
      <c r="B117" s="2"/>
    </row>
    <row r="118" spans="2:2" ht="15.6" x14ac:dyDescent="0.3">
      <c r="B118" s="2"/>
    </row>
    <row r="119" spans="2:2" ht="15.6" x14ac:dyDescent="0.3">
      <c r="B119" s="2"/>
    </row>
    <row r="120" spans="2:2" ht="15.6" x14ac:dyDescent="0.3">
      <c r="B120" s="2"/>
    </row>
    <row r="121" spans="2:2" ht="15.6" x14ac:dyDescent="0.3">
      <c r="B121" s="2"/>
    </row>
    <row r="122" spans="2:2" ht="15.6" x14ac:dyDescent="0.3">
      <c r="B122" s="2"/>
    </row>
    <row r="123" spans="2:2" ht="15.6" x14ac:dyDescent="0.3">
      <c r="B123" s="2"/>
    </row>
    <row r="124" spans="2:2" ht="15.6" x14ac:dyDescent="0.3">
      <c r="B124" s="2"/>
    </row>
    <row r="125" spans="2:2" ht="15.6" x14ac:dyDescent="0.3">
      <c r="B125" s="2"/>
    </row>
    <row r="126" spans="2:2" ht="15.6" x14ac:dyDescent="0.3">
      <c r="B126" s="1"/>
    </row>
    <row r="127" spans="2:2" ht="15.6" x14ac:dyDescent="0.3">
      <c r="B127" s="1"/>
    </row>
    <row r="128" spans="2:2" ht="15.6" x14ac:dyDescent="0.3">
      <c r="B128" s="1"/>
    </row>
    <row r="129" spans="2:2" ht="15.6" x14ac:dyDescent="0.3">
      <c r="B129" s="1"/>
    </row>
    <row r="130" spans="2:2" ht="15.6" x14ac:dyDescent="0.3">
      <c r="B130" s="1"/>
    </row>
    <row r="131" spans="2:2" ht="15.6" x14ac:dyDescent="0.3">
      <c r="B131" s="1"/>
    </row>
    <row r="132" spans="2:2" ht="15.6" x14ac:dyDescent="0.3">
      <c r="B132" s="1"/>
    </row>
    <row r="133" spans="2:2" ht="15.6" x14ac:dyDescent="0.3">
      <c r="B133" s="1"/>
    </row>
    <row r="134" spans="2:2" ht="15.6" x14ac:dyDescent="0.3">
      <c r="B134" s="1"/>
    </row>
    <row r="135" spans="2:2" ht="15.6" x14ac:dyDescent="0.3">
      <c r="B135" s="1"/>
    </row>
    <row r="136" spans="2:2" ht="15.6" x14ac:dyDescent="0.3">
      <c r="B136" s="1"/>
    </row>
    <row r="137" spans="2:2" ht="15.6" x14ac:dyDescent="0.3">
      <c r="B137" s="1"/>
    </row>
    <row r="138" spans="2:2" ht="15.6" x14ac:dyDescent="0.3">
      <c r="B138" s="1"/>
    </row>
    <row r="139" spans="2:2" ht="15.6" x14ac:dyDescent="0.3">
      <c r="B139" s="1"/>
    </row>
    <row r="140" spans="2:2" ht="15.6" x14ac:dyDescent="0.3">
      <c r="B140" s="1"/>
    </row>
    <row r="141" spans="2:2" ht="15.6" x14ac:dyDescent="0.3">
      <c r="B141" s="1"/>
    </row>
    <row r="142" spans="2:2" ht="15.6" x14ac:dyDescent="0.3">
      <c r="B142" s="1"/>
    </row>
    <row r="143" spans="2:2" ht="15.6" x14ac:dyDescent="0.3">
      <c r="B143" s="1"/>
    </row>
    <row r="144" spans="2:2" ht="15.6" x14ac:dyDescent="0.3">
      <c r="B144" s="1"/>
    </row>
    <row r="145" spans="2:2" ht="15.6" x14ac:dyDescent="0.3">
      <c r="B145" s="1"/>
    </row>
    <row r="146" spans="2:2" ht="15.6" x14ac:dyDescent="0.3">
      <c r="B146" s="1"/>
    </row>
    <row r="147" spans="2:2" ht="15.6" x14ac:dyDescent="0.3">
      <c r="B147" s="1"/>
    </row>
    <row r="148" spans="2:2" ht="15.6" x14ac:dyDescent="0.3">
      <c r="B148" s="1"/>
    </row>
    <row r="149" spans="2:2" ht="15.6" x14ac:dyDescent="0.3">
      <c r="B149" s="1"/>
    </row>
    <row r="150" spans="2:2" ht="15.6" x14ac:dyDescent="0.3">
      <c r="B150" s="1"/>
    </row>
    <row r="151" spans="2:2" ht="15.6" x14ac:dyDescent="0.3">
      <c r="B151" s="1"/>
    </row>
    <row r="152" spans="2:2" ht="15.6" x14ac:dyDescent="0.3">
      <c r="B152" s="1"/>
    </row>
    <row r="153" spans="2:2" ht="15.6" x14ac:dyDescent="0.3">
      <c r="B153" s="1"/>
    </row>
    <row r="154" spans="2:2" ht="15.6" x14ac:dyDescent="0.3">
      <c r="B154" s="1"/>
    </row>
    <row r="155" spans="2:2" ht="15.6" x14ac:dyDescent="0.3">
      <c r="B155" s="1"/>
    </row>
    <row r="156" spans="2:2" ht="15.6" x14ac:dyDescent="0.3">
      <c r="B156" s="1"/>
    </row>
    <row r="157" spans="2:2" ht="15.6" x14ac:dyDescent="0.3">
      <c r="B157" s="1"/>
    </row>
    <row r="158" spans="2:2" ht="15.6" x14ac:dyDescent="0.3">
      <c r="B158" s="1"/>
    </row>
    <row r="159" spans="2:2" ht="15.6" x14ac:dyDescent="0.3">
      <c r="B159" s="1"/>
    </row>
    <row r="160" spans="2:2" ht="15.6" x14ac:dyDescent="0.3">
      <c r="B160" s="1"/>
    </row>
    <row r="161" spans="2:2" ht="15.6" x14ac:dyDescent="0.3">
      <c r="B161" s="1"/>
    </row>
    <row r="162" spans="2:2" ht="15.6" x14ac:dyDescent="0.3">
      <c r="B162" s="1"/>
    </row>
    <row r="163" spans="2:2" ht="15.6" x14ac:dyDescent="0.3">
      <c r="B163" s="1"/>
    </row>
    <row r="164" spans="2:2" ht="15.6" x14ac:dyDescent="0.3">
      <c r="B164" s="1"/>
    </row>
    <row r="165" spans="2:2" ht="15.6" x14ac:dyDescent="0.3">
      <c r="B165" s="1"/>
    </row>
    <row r="166" spans="2:2" ht="15.6" x14ac:dyDescent="0.3">
      <c r="B166" s="1"/>
    </row>
    <row r="167" spans="2:2" ht="15.6" x14ac:dyDescent="0.3">
      <c r="B167" s="1"/>
    </row>
    <row r="168" spans="2:2" ht="15.6" x14ac:dyDescent="0.3">
      <c r="B168" s="1"/>
    </row>
    <row r="169" spans="2:2" ht="15.6" x14ac:dyDescent="0.3">
      <c r="B169" s="1"/>
    </row>
    <row r="170" spans="2:2" ht="15.6" x14ac:dyDescent="0.3">
      <c r="B170" s="1"/>
    </row>
    <row r="171" spans="2:2" ht="15.6" x14ac:dyDescent="0.3">
      <c r="B171" s="1"/>
    </row>
    <row r="172" spans="2:2" ht="15.6" x14ac:dyDescent="0.3">
      <c r="B172" s="1"/>
    </row>
    <row r="173" spans="2:2" ht="15.6" x14ac:dyDescent="0.3">
      <c r="B173" s="1"/>
    </row>
    <row r="174" spans="2:2" ht="15.6" x14ac:dyDescent="0.3">
      <c r="B174" s="1"/>
    </row>
    <row r="175" spans="2:2" ht="15.6" x14ac:dyDescent="0.3">
      <c r="B175" s="1"/>
    </row>
    <row r="176" spans="2:2" ht="15.6" x14ac:dyDescent="0.3">
      <c r="B176" s="1"/>
    </row>
    <row r="177" spans="2:2" ht="15.6" x14ac:dyDescent="0.3">
      <c r="B177" s="1"/>
    </row>
    <row r="178" spans="2:2" ht="15.6" x14ac:dyDescent="0.3">
      <c r="B178" s="1"/>
    </row>
    <row r="179" spans="2:2" ht="15.6" x14ac:dyDescent="0.3">
      <c r="B179" s="1"/>
    </row>
    <row r="180" spans="2:2" ht="15.6" x14ac:dyDescent="0.3">
      <c r="B180" s="1"/>
    </row>
    <row r="181" spans="2:2" ht="15.6" x14ac:dyDescent="0.3">
      <c r="B181" s="1"/>
    </row>
    <row r="182" spans="2:2" ht="15.6" x14ac:dyDescent="0.3">
      <c r="B182" s="1"/>
    </row>
    <row r="183" spans="2:2" ht="15.6" x14ac:dyDescent="0.3">
      <c r="B183" s="1"/>
    </row>
    <row r="184" spans="2:2" ht="15.6" x14ac:dyDescent="0.3">
      <c r="B184" s="1"/>
    </row>
    <row r="185" spans="2:2" ht="15.6" x14ac:dyDescent="0.3">
      <c r="B185" s="1"/>
    </row>
    <row r="186" spans="2:2" ht="15.6" x14ac:dyDescent="0.3">
      <c r="B186" s="1"/>
    </row>
    <row r="187" spans="2:2" ht="15.6" x14ac:dyDescent="0.3">
      <c r="B187" s="1"/>
    </row>
    <row r="188" spans="2:2" ht="15.6" x14ac:dyDescent="0.3">
      <c r="B188" s="1"/>
    </row>
    <row r="189" spans="2:2" ht="15.6" x14ac:dyDescent="0.3">
      <c r="B189" s="1"/>
    </row>
    <row r="190" spans="2:2" ht="15.6" x14ac:dyDescent="0.3">
      <c r="B190" s="1"/>
    </row>
    <row r="191" spans="2:2" ht="15.6" x14ac:dyDescent="0.3">
      <c r="B191" s="1"/>
    </row>
    <row r="192" spans="2:2" ht="15.6" x14ac:dyDescent="0.3">
      <c r="B192" s="1"/>
    </row>
    <row r="193" spans="2:2" ht="15.6" x14ac:dyDescent="0.3">
      <c r="B193" s="1"/>
    </row>
    <row r="194" spans="2:2" ht="15.6" x14ac:dyDescent="0.3">
      <c r="B194" s="1"/>
    </row>
    <row r="195" spans="2:2" ht="15.6" x14ac:dyDescent="0.3">
      <c r="B195" s="1"/>
    </row>
    <row r="196" spans="2:2" ht="15.6" x14ac:dyDescent="0.3">
      <c r="B196" s="1"/>
    </row>
    <row r="197" spans="2:2" ht="15.6" x14ac:dyDescent="0.3">
      <c r="B197" s="1"/>
    </row>
    <row r="198" spans="2:2" ht="15.6" x14ac:dyDescent="0.3">
      <c r="B198" s="1"/>
    </row>
    <row r="199" spans="2:2" ht="15.6" x14ac:dyDescent="0.3">
      <c r="B199" s="1"/>
    </row>
    <row r="200" spans="2:2" ht="15.6" x14ac:dyDescent="0.3">
      <c r="B200" s="1"/>
    </row>
    <row r="201" spans="2:2" ht="15.6" x14ac:dyDescent="0.3">
      <c r="B201" s="1"/>
    </row>
    <row r="202" spans="2:2" ht="15.6" x14ac:dyDescent="0.3">
      <c r="B202" s="1"/>
    </row>
    <row r="203" spans="2:2" ht="15.6" x14ac:dyDescent="0.3">
      <c r="B203" s="1"/>
    </row>
    <row r="204" spans="2:2" ht="15.6" x14ac:dyDescent="0.3">
      <c r="B204" s="1"/>
    </row>
    <row r="205" spans="2:2" ht="15.6" x14ac:dyDescent="0.3">
      <c r="B205" s="1"/>
    </row>
    <row r="206" spans="2:2" ht="15.6" x14ac:dyDescent="0.3">
      <c r="B206" s="1"/>
    </row>
    <row r="207" spans="2:2" ht="15.6" x14ac:dyDescent="0.3">
      <c r="B207" s="1"/>
    </row>
    <row r="208" spans="2:2" ht="15.6" x14ac:dyDescent="0.3">
      <c r="B208" s="1"/>
    </row>
    <row r="209" spans="2:2" ht="15.6" x14ac:dyDescent="0.3">
      <c r="B209" s="1"/>
    </row>
    <row r="210" spans="2:2" ht="15.6" x14ac:dyDescent="0.3">
      <c r="B210" s="1"/>
    </row>
    <row r="211" spans="2:2" ht="15.6" x14ac:dyDescent="0.3">
      <c r="B211" s="1"/>
    </row>
    <row r="212" spans="2:2" ht="15.6" x14ac:dyDescent="0.3">
      <c r="B212" s="1"/>
    </row>
    <row r="213" spans="2:2" ht="15.6" x14ac:dyDescent="0.3">
      <c r="B213" s="1"/>
    </row>
    <row r="214" spans="2:2" ht="15.6" x14ac:dyDescent="0.3">
      <c r="B214" s="1"/>
    </row>
    <row r="215" spans="2:2" ht="15.6" x14ac:dyDescent="0.3">
      <c r="B215" s="1"/>
    </row>
    <row r="216" spans="2:2" ht="15.6" x14ac:dyDescent="0.3">
      <c r="B216" s="1"/>
    </row>
    <row r="217" spans="2:2" ht="15.6" x14ac:dyDescent="0.3">
      <c r="B217" s="1"/>
    </row>
    <row r="218" spans="2:2" ht="15.6" x14ac:dyDescent="0.3">
      <c r="B218" s="1"/>
    </row>
    <row r="219" spans="2:2" ht="15.6" x14ac:dyDescent="0.3">
      <c r="B219" s="1"/>
    </row>
    <row r="220" spans="2:2" ht="15.6" x14ac:dyDescent="0.3">
      <c r="B220" s="1"/>
    </row>
    <row r="221" spans="2:2" ht="15.6" x14ac:dyDescent="0.3">
      <c r="B221" s="1"/>
    </row>
    <row r="222" spans="2:2" ht="15.6" x14ac:dyDescent="0.3">
      <c r="B222" s="1"/>
    </row>
    <row r="223" spans="2:2" ht="15.6" x14ac:dyDescent="0.3">
      <c r="B223" s="1"/>
    </row>
    <row r="224" spans="2:2" ht="15.6" x14ac:dyDescent="0.3">
      <c r="B224" s="1"/>
    </row>
    <row r="225" spans="2:2" ht="15.6" x14ac:dyDescent="0.3">
      <c r="B225" s="1"/>
    </row>
    <row r="226" spans="2:2" ht="15.6" x14ac:dyDescent="0.3">
      <c r="B226" s="1"/>
    </row>
    <row r="227" spans="2:2" ht="15.6" x14ac:dyDescent="0.3">
      <c r="B227" s="1"/>
    </row>
    <row r="228" spans="2:2" ht="15.6" x14ac:dyDescent="0.3">
      <c r="B228" s="1"/>
    </row>
    <row r="229" spans="2:2" ht="15.6" x14ac:dyDescent="0.3">
      <c r="B229" s="1"/>
    </row>
    <row r="230" spans="2:2" ht="15.6" x14ac:dyDescent="0.3">
      <c r="B230" s="1"/>
    </row>
    <row r="231" spans="2:2" ht="15.6" x14ac:dyDescent="0.3">
      <c r="B231" s="1"/>
    </row>
    <row r="232" spans="2:2" ht="15.6" x14ac:dyDescent="0.3">
      <c r="B232" s="1"/>
    </row>
    <row r="233" spans="2:2" ht="15.6" x14ac:dyDescent="0.3">
      <c r="B233" s="1"/>
    </row>
    <row r="234" spans="2:2" ht="15.6" x14ac:dyDescent="0.3">
      <c r="B234" s="1"/>
    </row>
    <row r="235" spans="2:2" ht="15.6" x14ac:dyDescent="0.3">
      <c r="B235" s="1"/>
    </row>
    <row r="236" spans="2:2" ht="15.6" x14ac:dyDescent="0.3">
      <c r="B236" s="1"/>
    </row>
    <row r="237" spans="2:2" ht="15.6" x14ac:dyDescent="0.3">
      <c r="B237" s="1"/>
    </row>
    <row r="238" spans="2:2" ht="15.6" x14ac:dyDescent="0.3">
      <c r="B238" s="1"/>
    </row>
    <row r="239" spans="2:2" ht="15.6" x14ac:dyDescent="0.3">
      <c r="B239" s="1"/>
    </row>
    <row r="240" spans="2:2" ht="15.6" x14ac:dyDescent="0.3">
      <c r="B240" s="1"/>
    </row>
    <row r="241" spans="2:2" ht="15.6" x14ac:dyDescent="0.3">
      <c r="B241" s="1"/>
    </row>
    <row r="242" spans="2:2" ht="15.6" x14ac:dyDescent="0.3">
      <c r="B242" s="1"/>
    </row>
    <row r="243" spans="2:2" ht="15.6" x14ac:dyDescent="0.3">
      <c r="B243" s="1"/>
    </row>
    <row r="244" spans="2:2" ht="15.6" x14ac:dyDescent="0.3">
      <c r="B244" s="1"/>
    </row>
    <row r="245" spans="2:2" ht="15.6" x14ac:dyDescent="0.3">
      <c r="B245" s="1"/>
    </row>
    <row r="246" spans="2:2" ht="15.6" x14ac:dyDescent="0.3">
      <c r="B246" s="1"/>
    </row>
    <row r="247" spans="2:2" ht="15.6" x14ac:dyDescent="0.3">
      <c r="B247" s="1"/>
    </row>
    <row r="248" spans="2:2" ht="15.6" x14ac:dyDescent="0.3">
      <c r="B248" s="1"/>
    </row>
    <row r="249" spans="2:2" ht="15.6" x14ac:dyDescent="0.3">
      <c r="B249" s="1"/>
    </row>
    <row r="250" spans="2:2" ht="15.6" x14ac:dyDescent="0.3">
      <c r="B250" s="1"/>
    </row>
    <row r="251" spans="2:2" ht="15.6" x14ac:dyDescent="0.3">
      <c r="B251" s="1"/>
    </row>
    <row r="252" spans="2:2" ht="15.6" x14ac:dyDescent="0.3">
      <c r="B252" s="1"/>
    </row>
    <row r="253" spans="2:2" ht="15.6" x14ac:dyDescent="0.3">
      <c r="B253" s="1"/>
    </row>
  </sheetData>
  <mergeCells count="14">
    <mergeCell ref="B57:C57"/>
    <mergeCell ref="B63:C63"/>
    <mergeCell ref="B30:C30"/>
    <mergeCell ref="B35:C35"/>
    <mergeCell ref="B41:C41"/>
    <mergeCell ref="B42:C42"/>
    <mergeCell ref="B47:C47"/>
    <mergeCell ref="B52:C52"/>
    <mergeCell ref="B7:C7"/>
    <mergeCell ref="B8:C8"/>
    <mergeCell ref="B13:C13"/>
    <mergeCell ref="B19:C19"/>
    <mergeCell ref="B20:C20"/>
    <mergeCell ref="B25:C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3096-4011-4C35-AF1E-16BDA96B780C}">
  <dimension ref="B2:D253"/>
  <sheetViews>
    <sheetView zoomScale="90" zoomScaleNormal="90" workbookViewId="0">
      <selection activeCell="E15" sqref="E15"/>
    </sheetView>
  </sheetViews>
  <sheetFormatPr baseColWidth="10" defaultRowHeight="14.4" x14ac:dyDescent="0.3"/>
  <cols>
    <col min="2" max="2" width="143.109375" bestFit="1" customWidth="1"/>
  </cols>
  <sheetData>
    <row r="2" spans="2:4" ht="15.6" x14ac:dyDescent="0.3">
      <c r="B2" s="2" t="s">
        <v>59</v>
      </c>
    </row>
    <row r="3" spans="2:4" ht="16.2" thickBot="1" x14ac:dyDescent="0.35">
      <c r="B3" s="2" t="s">
        <v>60</v>
      </c>
    </row>
    <row r="4" spans="2:4" ht="16.2" thickBot="1" x14ac:dyDescent="0.35">
      <c r="B4" s="9" t="s">
        <v>61</v>
      </c>
      <c r="C4" s="7">
        <f>((C18+C40+C62+C68)/0.8)*20</f>
        <v>0</v>
      </c>
    </row>
    <row r="6" spans="2:4" ht="15" thickBot="1" x14ac:dyDescent="0.35"/>
    <row r="7" spans="2:4" ht="18.600000000000001" thickBot="1" x14ac:dyDescent="0.4">
      <c r="B7" s="16" t="s">
        <v>0</v>
      </c>
      <c r="C7" s="17"/>
    </row>
    <row r="8" spans="2:4" ht="15.6" x14ac:dyDescent="0.3">
      <c r="B8" s="18" t="s">
        <v>1</v>
      </c>
      <c r="C8" s="19"/>
    </row>
    <row r="9" spans="2:4" ht="15.6" x14ac:dyDescent="0.3">
      <c r="B9" s="4" t="s">
        <v>3</v>
      </c>
      <c r="C9" s="3"/>
      <c r="D9" s="13">
        <f>IF(C9=1,0.15,0)</f>
        <v>0</v>
      </c>
    </row>
    <row r="10" spans="2:4" ht="15.6" x14ac:dyDescent="0.3">
      <c r="B10" s="4" t="s">
        <v>4</v>
      </c>
      <c r="C10" s="3"/>
      <c r="D10" s="13">
        <f>IF(C10=1,0.1,0)</f>
        <v>0</v>
      </c>
    </row>
    <row r="11" spans="2:4" ht="15.6" x14ac:dyDescent="0.3">
      <c r="B11" s="4" t="s">
        <v>5</v>
      </c>
      <c r="C11" s="3"/>
      <c r="D11" s="13">
        <f>IF(C11=1,0.05,0)</f>
        <v>0</v>
      </c>
    </row>
    <row r="12" spans="2:4" ht="15.6" x14ac:dyDescent="0.3">
      <c r="B12" s="4" t="s">
        <v>6</v>
      </c>
      <c r="C12" s="3"/>
      <c r="D12" s="13">
        <v>0</v>
      </c>
    </row>
    <row r="13" spans="2:4" ht="15.6" x14ac:dyDescent="0.3">
      <c r="B13" s="14" t="s">
        <v>2</v>
      </c>
      <c r="C13" s="15"/>
      <c r="D13" s="13"/>
    </row>
    <row r="14" spans="2:4" ht="15.6" x14ac:dyDescent="0.3">
      <c r="B14" s="4" t="s">
        <v>7</v>
      </c>
      <c r="C14" s="3"/>
      <c r="D14" s="13">
        <f>IF(C14=1,0.1,0)</f>
        <v>0</v>
      </c>
    </row>
    <row r="15" spans="2:4" ht="15.6" x14ac:dyDescent="0.3">
      <c r="B15" s="4" t="s">
        <v>8</v>
      </c>
      <c r="C15" s="3"/>
      <c r="D15" s="13">
        <f>IF(C15=1,0.07,0)</f>
        <v>0</v>
      </c>
    </row>
    <row r="16" spans="2:4" ht="15.6" x14ac:dyDescent="0.3">
      <c r="B16" s="4" t="s">
        <v>9</v>
      </c>
      <c r="C16" s="3"/>
      <c r="D16" s="13">
        <f>IF(C16=1,0.03,0)</f>
        <v>0</v>
      </c>
    </row>
    <row r="17" spans="2:4" ht="16.2" thickBot="1" x14ac:dyDescent="0.35">
      <c r="B17" s="4" t="s">
        <v>10</v>
      </c>
      <c r="C17" s="5"/>
      <c r="D17" s="13">
        <v>0</v>
      </c>
    </row>
    <row r="18" spans="2:4" ht="16.2" thickBot="1" x14ac:dyDescent="0.35">
      <c r="B18" s="6" t="s">
        <v>58</v>
      </c>
      <c r="C18" s="7">
        <f>SUM(D9:D17)</f>
        <v>0</v>
      </c>
      <c r="D18" s="13"/>
    </row>
    <row r="19" spans="2:4" ht="18.600000000000001" thickBot="1" x14ac:dyDescent="0.4">
      <c r="B19" s="20" t="s">
        <v>27</v>
      </c>
      <c r="C19" s="21"/>
    </row>
    <row r="20" spans="2:4" ht="15.6" x14ac:dyDescent="0.3">
      <c r="B20" s="22" t="s">
        <v>28</v>
      </c>
      <c r="C20" s="23"/>
    </row>
    <row r="21" spans="2:4" ht="15.6" x14ac:dyDescent="0.3">
      <c r="B21" s="4" t="s">
        <v>11</v>
      </c>
      <c r="C21" s="3"/>
      <c r="D21" s="13">
        <f>IF(C21=1,0.05,0)</f>
        <v>0</v>
      </c>
    </row>
    <row r="22" spans="2:4" ht="15.6" x14ac:dyDescent="0.3">
      <c r="B22" s="4" t="s">
        <v>12</v>
      </c>
      <c r="C22" s="3"/>
      <c r="D22" s="13">
        <f>IF(C22=1,0.03,0)</f>
        <v>0</v>
      </c>
    </row>
    <row r="23" spans="2:4" ht="15.6" x14ac:dyDescent="0.3">
      <c r="B23" s="4" t="s">
        <v>13</v>
      </c>
      <c r="C23" s="3"/>
      <c r="D23" s="13">
        <f>IF(C23=1,0.01,0)</f>
        <v>0</v>
      </c>
    </row>
    <row r="24" spans="2:4" ht="15.6" x14ac:dyDescent="0.3">
      <c r="B24" s="4" t="s">
        <v>14</v>
      </c>
      <c r="C24" s="3"/>
      <c r="D24" s="13">
        <v>0</v>
      </c>
    </row>
    <row r="25" spans="2:4" ht="15.6" x14ac:dyDescent="0.3">
      <c r="B25" s="14" t="s">
        <v>29</v>
      </c>
      <c r="C25" s="15"/>
      <c r="D25" s="13"/>
    </row>
    <row r="26" spans="2:4" ht="15.6" x14ac:dyDescent="0.3">
      <c r="B26" s="4" t="s">
        <v>15</v>
      </c>
      <c r="C26" s="3"/>
      <c r="D26" s="13">
        <f>IF(C26=1,0.05,0)</f>
        <v>0</v>
      </c>
    </row>
    <row r="27" spans="2:4" ht="15.6" x14ac:dyDescent="0.3">
      <c r="B27" s="4" t="s">
        <v>16</v>
      </c>
      <c r="C27" s="3"/>
      <c r="D27" s="13">
        <f>IF(C27=1,0.03,0)</f>
        <v>0</v>
      </c>
    </row>
    <row r="28" spans="2:4" ht="15.6" x14ac:dyDescent="0.3">
      <c r="B28" s="4" t="s">
        <v>17</v>
      </c>
      <c r="C28" s="3"/>
      <c r="D28" s="13">
        <f>IF(C28=1,0.01,0)</f>
        <v>0</v>
      </c>
    </row>
    <row r="29" spans="2:4" ht="15.6" x14ac:dyDescent="0.3">
      <c r="B29" s="4" t="s">
        <v>18</v>
      </c>
      <c r="C29" s="3"/>
      <c r="D29" s="13">
        <v>0</v>
      </c>
    </row>
    <row r="30" spans="2:4" ht="15.6" x14ac:dyDescent="0.3">
      <c r="B30" s="14" t="s">
        <v>30</v>
      </c>
      <c r="C30" s="15"/>
      <c r="D30" s="13"/>
    </row>
    <row r="31" spans="2:4" ht="15.6" x14ac:dyDescent="0.3">
      <c r="B31" s="4" t="s">
        <v>19</v>
      </c>
      <c r="C31" s="3"/>
      <c r="D31" s="13">
        <f>IF(C31=1,0.05,0)</f>
        <v>0</v>
      </c>
    </row>
    <row r="32" spans="2:4" ht="15.6" x14ac:dyDescent="0.3">
      <c r="B32" s="4" t="s">
        <v>20</v>
      </c>
      <c r="C32" s="3"/>
      <c r="D32" s="13">
        <f>IF(C32=1,0.03,0)</f>
        <v>0</v>
      </c>
    </row>
    <row r="33" spans="2:4" ht="15.6" x14ac:dyDescent="0.3">
      <c r="B33" s="4" t="s">
        <v>21</v>
      </c>
      <c r="C33" s="3"/>
      <c r="D33" s="13">
        <f>IF(C33=1,0.01,0)</f>
        <v>0</v>
      </c>
    </row>
    <row r="34" spans="2:4" ht="15.6" x14ac:dyDescent="0.3">
      <c r="B34" s="4" t="s">
        <v>22</v>
      </c>
      <c r="C34" s="3"/>
      <c r="D34" s="13">
        <v>0</v>
      </c>
    </row>
    <row r="35" spans="2:4" ht="15.6" x14ac:dyDescent="0.3">
      <c r="B35" s="14" t="s">
        <v>31</v>
      </c>
      <c r="C35" s="15"/>
      <c r="D35" s="13"/>
    </row>
    <row r="36" spans="2:4" ht="15.6" x14ac:dyDescent="0.3">
      <c r="B36" s="4" t="s">
        <v>23</v>
      </c>
      <c r="C36" s="3"/>
      <c r="D36" s="13">
        <f>IF(C36=1,0.05,0)</f>
        <v>0</v>
      </c>
    </row>
    <row r="37" spans="2:4" ht="15.6" x14ac:dyDescent="0.3">
      <c r="B37" s="4" t="s">
        <v>24</v>
      </c>
      <c r="C37" s="3"/>
      <c r="D37" s="13">
        <f>IF(C37=1,0.03,0)</f>
        <v>0</v>
      </c>
    </row>
    <row r="38" spans="2:4" ht="15.6" x14ac:dyDescent="0.3">
      <c r="B38" s="4" t="s">
        <v>25</v>
      </c>
      <c r="C38" s="3"/>
      <c r="D38" s="13">
        <f>IF(C38=1,0.01,0)</f>
        <v>0</v>
      </c>
    </row>
    <row r="39" spans="2:4" ht="16.2" thickBot="1" x14ac:dyDescent="0.35">
      <c r="B39" s="4" t="s">
        <v>26</v>
      </c>
      <c r="C39" s="5"/>
      <c r="D39" s="13">
        <v>0</v>
      </c>
    </row>
    <row r="40" spans="2:4" ht="16.2" thickBot="1" x14ac:dyDescent="0.35">
      <c r="B40" s="6" t="s">
        <v>58</v>
      </c>
      <c r="C40" s="10">
        <f>SUM(D21:D39)</f>
        <v>0</v>
      </c>
      <c r="D40" s="13"/>
    </row>
    <row r="41" spans="2:4" ht="18.600000000000001" thickBot="1" x14ac:dyDescent="0.4">
      <c r="B41" s="20" t="s">
        <v>48</v>
      </c>
      <c r="C41" s="21"/>
    </row>
    <row r="42" spans="2:4" ht="15.6" x14ac:dyDescent="0.3">
      <c r="B42" s="22" t="s">
        <v>49</v>
      </c>
      <c r="C42" s="23"/>
    </row>
    <row r="43" spans="2:4" ht="15.6" x14ac:dyDescent="0.3">
      <c r="B43" s="4" t="s">
        <v>32</v>
      </c>
      <c r="C43" s="3"/>
      <c r="D43" s="13">
        <f>IF(C43=1,0.05,0)</f>
        <v>0</v>
      </c>
    </row>
    <row r="44" spans="2:4" ht="15.6" x14ac:dyDescent="0.3">
      <c r="B44" s="4" t="s">
        <v>33</v>
      </c>
      <c r="C44" s="3"/>
      <c r="D44" s="13">
        <f>IF(C44=1,0.03,0)</f>
        <v>0</v>
      </c>
    </row>
    <row r="45" spans="2:4" ht="15.6" x14ac:dyDescent="0.3">
      <c r="B45" s="4" t="s">
        <v>34</v>
      </c>
      <c r="C45" s="3"/>
      <c r="D45" s="13">
        <f>IF(C45=1,0.01,0)</f>
        <v>0</v>
      </c>
    </row>
    <row r="46" spans="2:4" ht="15.6" x14ac:dyDescent="0.3">
      <c r="B46" s="4" t="s">
        <v>35</v>
      </c>
      <c r="C46" s="3"/>
      <c r="D46" s="13">
        <v>0</v>
      </c>
    </row>
    <row r="47" spans="2:4" ht="15.6" x14ac:dyDescent="0.3">
      <c r="B47" s="14" t="s">
        <v>50</v>
      </c>
      <c r="C47" s="15"/>
    </row>
    <row r="48" spans="2:4" ht="15.6" x14ac:dyDescent="0.3">
      <c r="B48" s="4" t="s">
        <v>36</v>
      </c>
      <c r="C48" s="3"/>
      <c r="D48" s="13">
        <f>IF(C48=1,0.05,0)</f>
        <v>0</v>
      </c>
    </row>
    <row r="49" spans="2:4" ht="15.6" x14ac:dyDescent="0.3">
      <c r="B49" s="4" t="s">
        <v>37</v>
      </c>
      <c r="C49" s="3"/>
      <c r="D49" s="13">
        <f>IF(C49=1,0.03,0)</f>
        <v>0</v>
      </c>
    </row>
    <row r="50" spans="2:4" ht="15.6" x14ac:dyDescent="0.3">
      <c r="B50" s="4" t="s">
        <v>38</v>
      </c>
      <c r="C50" s="3"/>
      <c r="D50" s="13">
        <f>IF(C50=1,0.01,0)</f>
        <v>0</v>
      </c>
    </row>
    <row r="51" spans="2:4" ht="15.6" x14ac:dyDescent="0.3">
      <c r="B51" s="4" t="s">
        <v>39</v>
      </c>
      <c r="C51" s="3"/>
      <c r="D51" s="13">
        <v>0</v>
      </c>
    </row>
    <row r="52" spans="2:4" ht="15.6" x14ac:dyDescent="0.3">
      <c r="B52" s="14" t="s">
        <v>51</v>
      </c>
      <c r="C52" s="15"/>
    </row>
    <row r="53" spans="2:4" ht="15.6" x14ac:dyDescent="0.3">
      <c r="B53" s="4" t="s">
        <v>40</v>
      </c>
      <c r="C53" s="3"/>
      <c r="D53" s="13">
        <f>IF(C53=1,0.05,0)</f>
        <v>0</v>
      </c>
    </row>
    <row r="54" spans="2:4" ht="15.6" x14ac:dyDescent="0.3">
      <c r="B54" s="4" t="s">
        <v>41</v>
      </c>
      <c r="C54" s="3"/>
      <c r="D54" s="13">
        <f>IF(C54=1,0.03,0)</f>
        <v>0</v>
      </c>
    </row>
    <row r="55" spans="2:4" ht="15.6" x14ac:dyDescent="0.3">
      <c r="B55" s="4" t="s">
        <v>42</v>
      </c>
      <c r="C55" s="3"/>
      <c r="D55" s="13">
        <f>IF(C55=1,0.01,0)</f>
        <v>0</v>
      </c>
    </row>
    <row r="56" spans="2:4" ht="15.6" x14ac:dyDescent="0.3">
      <c r="B56" s="4" t="s">
        <v>43</v>
      </c>
      <c r="C56" s="3"/>
      <c r="D56" s="13">
        <v>0</v>
      </c>
    </row>
    <row r="57" spans="2:4" ht="15.6" x14ac:dyDescent="0.3">
      <c r="B57" s="14" t="s">
        <v>52</v>
      </c>
      <c r="C57" s="15"/>
    </row>
    <row r="58" spans="2:4" ht="15.6" x14ac:dyDescent="0.3">
      <c r="B58" s="4" t="s">
        <v>44</v>
      </c>
      <c r="C58" s="3"/>
      <c r="D58" s="13">
        <f>IF(C58=1,0.05,0)</f>
        <v>0</v>
      </c>
    </row>
    <row r="59" spans="2:4" ht="15.6" x14ac:dyDescent="0.3">
      <c r="B59" s="4" t="s">
        <v>45</v>
      </c>
      <c r="C59" s="3"/>
      <c r="D59" s="13">
        <f>IF(C59=1,0.03,0)</f>
        <v>0</v>
      </c>
    </row>
    <row r="60" spans="2:4" ht="15.6" x14ac:dyDescent="0.3">
      <c r="B60" s="4" t="s">
        <v>46</v>
      </c>
      <c r="C60" s="3"/>
      <c r="D60" s="13">
        <f>IF(C60=1,0.01,0)</f>
        <v>0</v>
      </c>
    </row>
    <row r="61" spans="2:4" ht="16.2" thickBot="1" x14ac:dyDescent="0.35">
      <c r="B61" s="4" t="s">
        <v>47</v>
      </c>
      <c r="C61" s="5"/>
      <c r="D61" s="13">
        <v>0</v>
      </c>
    </row>
    <row r="62" spans="2:4" ht="16.2" thickBot="1" x14ac:dyDescent="0.35">
      <c r="B62" s="6" t="s">
        <v>58</v>
      </c>
      <c r="C62" s="10">
        <f>SUM(D43:D61)</f>
        <v>0</v>
      </c>
    </row>
    <row r="63" spans="2:4" ht="18.600000000000001" thickBot="1" x14ac:dyDescent="0.4">
      <c r="B63" s="20" t="s">
        <v>57</v>
      </c>
      <c r="C63" s="21"/>
    </row>
    <row r="64" spans="2:4" ht="15.6" x14ac:dyDescent="0.3">
      <c r="B64" s="12" t="s">
        <v>53</v>
      </c>
      <c r="C64" s="11"/>
      <c r="D64" s="13">
        <f t="shared" ref="D64" si="0">IF(C64=1,0.15,0)</f>
        <v>0</v>
      </c>
    </row>
    <row r="65" spans="2:4" ht="15.6" x14ac:dyDescent="0.3">
      <c r="B65" s="4" t="s">
        <v>54</v>
      </c>
      <c r="C65" s="3"/>
      <c r="D65" s="13">
        <f>IF(C65=1,0.1,0)</f>
        <v>0</v>
      </c>
    </row>
    <row r="66" spans="2:4" ht="15.6" x14ac:dyDescent="0.3">
      <c r="B66" s="4" t="s">
        <v>55</v>
      </c>
      <c r="C66" s="3"/>
      <c r="D66" s="13">
        <f>IF(C66=1,0.05,0)</f>
        <v>0</v>
      </c>
    </row>
    <row r="67" spans="2:4" ht="16.2" thickBot="1" x14ac:dyDescent="0.35">
      <c r="B67" s="4" t="s">
        <v>56</v>
      </c>
      <c r="C67" s="5"/>
      <c r="D67" s="13">
        <v>0</v>
      </c>
    </row>
    <row r="68" spans="2:4" ht="16.2" thickBot="1" x14ac:dyDescent="0.35">
      <c r="B68" s="8" t="s">
        <v>58</v>
      </c>
      <c r="C68" s="7">
        <f>SUM(D64:D67)</f>
        <v>0</v>
      </c>
    </row>
    <row r="69" spans="2:4" ht="15.6" x14ac:dyDescent="0.3">
      <c r="B69" s="2"/>
    </row>
    <row r="70" spans="2:4" ht="15.6" x14ac:dyDescent="0.3">
      <c r="B70" s="2"/>
    </row>
    <row r="71" spans="2:4" ht="15.6" x14ac:dyDescent="0.3">
      <c r="B71" s="2"/>
    </row>
    <row r="72" spans="2:4" ht="15.6" x14ac:dyDescent="0.3">
      <c r="B72" s="2"/>
    </row>
    <row r="73" spans="2:4" ht="15.6" x14ac:dyDescent="0.3">
      <c r="B73" s="2"/>
    </row>
    <row r="74" spans="2:4" ht="15.6" x14ac:dyDescent="0.3">
      <c r="B74" s="2"/>
    </row>
    <row r="75" spans="2:4" ht="15.6" x14ac:dyDescent="0.3">
      <c r="B75" s="2"/>
    </row>
    <row r="76" spans="2:4" ht="15.6" x14ac:dyDescent="0.3">
      <c r="B76" s="2"/>
    </row>
    <row r="77" spans="2:4" ht="15.6" x14ac:dyDescent="0.3">
      <c r="B77" s="2"/>
    </row>
    <row r="78" spans="2:4" ht="15.6" x14ac:dyDescent="0.3">
      <c r="B78" s="2"/>
    </row>
    <row r="79" spans="2:4" ht="15.6" x14ac:dyDescent="0.3">
      <c r="B79" s="2"/>
    </row>
    <row r="80" spans="2:4" ht="15.6" x14ac:dyDescent="0.3">
      <c r="B80" s="2"/>
    </row>
    <row r="81" spans="2:2" ht="15.6" x14ac:dyDescent="0.3">
      <c r="B81" s="2"/>
    </row>
    <row r="82" spans="2:2" ht="15.6" x14ac:dyDescent="0.3">
      <c r="B82" s="2"/>
    </row>
    <row r="83" spans="2:2" ht="15.6" x14ac:dyDescent="0.3">
      <c r="B83" s="2"/>
    </row>
    <row r="84" spans="2:2" ht="15.6" x14ac:dyDescent="0.3">
      <c r="B84" s="2"/>
    </row>
    <row r="85" spans="2:2" ht="15.6" x14ac:dyDescent="0.3">
      <c r="B85" s="2"/>
    </row>
    <row r="86" spans="2:2" ht="15.6" x14ac:dyDescent="0.3">
      <c r="B86" s="2"/>
    </row>
    <row r="87" spans="2:2" ht="15.6" x14ac:dyDescent="0.3">
      <c r="B87" s="2"/>
    </row>
    <row r="88" spans="2:2" ht="15.6" x14ac:dyDescent="0.3">
      <c r="B88" s="2"/>
    </row>
    <row r="89" spans="2:2" ht="15.6" x14ac:dyDescent="0.3">
      <c r="B89" s="2"/>
    </row>
    <row r="90" spans="2:2" ht="15.6" x14ac:dyDescent="0.3">
      <c r="B90" s="2"/>
    </row>
    <row r="91" spans="2:2" ht="15.6" x14ac:dyDescent="0.3">
      <c r="B91" s="2"/>
    </row>
    <row r="92" spans="2:2" ht="15.6" x14ac:dyDescent="0.3">
      <c r="B92" s="2"/>
    </row>
    <row r="93" spans="2:2" ht="15.6" x14ac:dyDescent="0.3">
      <c r="B93" s="2"/>
    </row>
    <row r="94" spans="2:2" ht="15.6" x14ac:dyDescent="0.3">
      <c r="B94" s="2"/>
    </row>
    <row r="95" spans="2:2" ht="15.6" x14ac:dyDescent="0.3">
      <c r="B95" s="2"/>
    </row>
    <row r="96" spans="2:2" ht="15.6" x14ac:dyDescent="0.3">
      <c r="B96" s="2"/>
    </row>
    <row r="97" spans="2:2" ht="15.6" x14ac:dyDescent="0.3">
      <c r="B97" s="2"/>
    </row>
    <row r="98" spans="2:2" ht="15.6" x14ac:dyDescent="0.3">
      <c r="B98" s="2"/>
    </row>
    <row r="99" spans="2:2" ht="15.6" x14ac:dyDescent="0.3">
      <c r="B99" s="2"/>
    </row>
    <row r="100" spans="2:2" ht="15.6" x14ac:dyDescent="0.3">
      <c r="B100" s="2"/>
    </row>
    <row r="101" spans="2:2" ht="15.6" x14ac:dyDescent="0.3">
      <c r="B101" s="2"/>
    </row>
    <row r="102" spans="2:2" ht="15.6" x14ac:dyDescent="0.3">
      <c r="B102" s="2"/>
    </row>
    <row r="103" spans="2:2" ht="15.6" x14ac:dyDescent="0.3">
      <c r="B103" s="2"/>
    </row>
    <row r="104" spans="2:2" ht="15.6" x14ac:dyDescent="0.3">
      <c r="B104" s="2"/>
    </row>
    <row r="105" spans="2:2" ht="15.6" x14ac:dyDescent="0.3">
      <c r="B105" s="2"/>
    </row>
    <row r="106" spans="2:2" ht="15.6" x14ac:dyDescent="0.3">
      <c r="B106" s="2"/>
    </row>
    <row r="107" spans="2:2" ht="15.6" x14ac:dyDescent="0.3">
      <c r="B107" s="2"/>
    </row>
    <row r="108" spans="2:2" ht="15.6" x14ac:dyDescent="0.3">
      <c r="B108" s="2"/>
    </row>
    <row r="109" spans="2:2" ht="15.6" x14ac:dyDescent="0.3">
      <c r="B109" s="2"/>
    </row>
    <row r="110" spans="2:2" ht="15.6" x14ac:dyDescent="0.3">
      <c r="B110" s="2"/>
    </row>
    <row r="111" spans="2:2" ht="15.6" x14ac:dyDescent="0.3">
      <c r="B111" s="2"/>
    </row>
    <row r="112" spans="2:2" ht="15.6" x14ac:dyDescent="0.3">
      <c r="B112" s="2"/>
    </row>
    <row r="113" spans="2:2" ht="15.6" x14ac:dyDescent="0.3">
      <c r="B113" s="2"/>
    </row>
    <row r="114" spans="2:2" ht="15.6" x14ac:dyDescent="0.3">
      <c r="B114" s="2"/>
    </row>
    <row r="115" spans="2:2" ht="15.6" x14ac:dyDescent="0.3">
      <c r="B115" s="2"/>
    </row>
    <row r="116" spans="2:2" ht="15.6" x14ac:dyDescent="0.3">
      <c r="B116" s="2"/>
    </row>
    <row r="117" spans="2:2" ht="15.6" x14ac:dyDescent="0.3">
      <c r="B117" s="2"/>
    </row>
    <row r="118" spans="2:2" ht="15.6" x14ac:dyDescent="0.3">
      <c r="B118" s="2"/>
    </row>
    <row r="119" spans="2:2" ht="15.6" x14ac:dyDescent="0.3">
      <c r="B119" s="2"/>
    </row>
    <row r="120" spans="2:2" ht="15.6" x14ac:dyDescent="0.3">
      <c r="B120" s="2"/>
    </row>
    <row r="121" spans="2:2" ht="15.6" x14ac:dyDescent="0.3">
      <c r="B121" s="2"/>
    </row>
    <row r="122" spans="2:2" ht="15.6" x14ac:dyDescent="0.3">
      <c r="B122" s="2"/>
    </row>
    <row r="123" spans="2:2" ht="15.6" x14ac:dyDescent="0.3">
      <c r="B123" s="2"/>
    </row>
    <row r="124" spans="2:2" ht="15.6" x14ac:dyDescent="0.3">
      <c r="B124" s="2"/>
    </row>
    <row r="125" spans="2:2" ht="15.6" x14ac:dyDescent="0.3">
      <c r="B125" s="2"/>
    </row>
    <row r="126" spans="2:2" ht="15.6" x14ac:dyDescent="0.3">
      <c r="B126" s="1"/>
    </row>
    <row r="127" spans="2:2" ht="15.6" x14ac:dyDescent="0.3">
      <c r="B127" s="1"/>
    </row>
    <row r="128" spans="2:2" ht="15.6" x14ac:dyDescent="0.3">
      <c r="B128" s="1"/>
    </row>
    <row r="129" spans="2:2" ht="15.6" x14ac:dyDescent="0.3">
      <c r="B129" s="1"/>
    </row>
    <row r="130" spans="2:2" ht="15.6" x14ac:dyDescent="0.3">
      <c r="B130" s="1"/>
    </row>
    <row r="131" spans="2:2" ht="15.6" x14ac:dyDescent="0.3">
      <c r="B131" s="1"/>
    </row>
    <row r="132" spans="2:2" ht="15.6" x14ac:dyDescent="0.3">
      <c r="B132" s="1"/>
    </row>
    <row r="133" spans="2:2" ht="15.6" x14ac:dyDescent="0.3">
      <c r="B133" s="1"/>
    </row>
    <row r="134" spans="2:2" ht="15.6" x14ac:dyDescent="0.3">
      <c r="B134" s="1"/>
    </row>
    <row r="135" spans="2:2" ht="15.6" x14ac:dyDescent="0.3">
      <c r="B135" s="1"/>
    </row>
    <row r="136" spans="2:2" ht="15.6" x14ac:dyDescent="0.3">
      <c r="B136" s="1"/>
    </row>
    <row r="137" spans="2:2" ht="15.6" x14ac:dyDescent="0.3">
      <c r="B137" s="1"/>
    </row>
    <row r="138" spans="2:2" ht="15.6" x14ac:dyDescent="0.3">
      <c r="B138" s="1"/>
    </row>
    <row r="139" spans="2:2" ht="15.6" x14ac:dyDescent="0.3">
      <c r="B139" s="1"/>
    </row>
    <row r="140" spans="2:2" ht="15.6" x14ac:dyDescent="0.3">
      <c r="B140" s="1"/>
    </row>
    <row r="141" spans="2:2" ht="15.6" x14ac:dyDescent="0.3">
      <c r="B141" s="1"/>
    </row>
    <row r="142" spans="2:2" ht="15.6" x14ac:dyDescent="0.3">
      <c r="B142" s="1"/>
    </row>
    <row r="143" spans="2:2" ht="15.6" x14ac:dyDescent="0.3">
      <c r="B143" s="1"/>
    </row>
    <row r="144" spans="2:2" ht="15.6" x14ac:dyDescent="0.3">
      <c r="B144" s="1"/>
    </row>
    <row r="145" spans="2:2" ht="15.6" x14ac:dyDescent="0.3">
      <c r="B145" s="1"/>
    </row>
    <row r="146" spans="2:2" ht="15.6" x14ac:dyDescent="0.3">
      <c r="B146" s="1"/>
    </row>
    <row r="147" spans="2:2" ht="15.6" x14ac:dyDescent="0.3">
      <c r="B147" s="1"/>
    </row>
    <row r="148" spans="2:2" ht="15.6" x14ac:dyDescent="0.3">
      <c r="B148" s="1"/>
    </row>
    <row r="149" spans="2:2" ht="15.6" x14ac:dyDescent="0.3">
      <c r="B149" s="1"/>
    </row>
    <row r="150" spans="2:2" ht="15.6" x14ac:dyDescent="0.3">
      <c r="B150" s="1"/>
    </row>
    <row r="151" spans="2:2" ht="15.6" x14ac:dyDescent="0.3">
      <c r="B151" s="1"/>
    </row>
    <row r="152" spans="2:2" ht="15.6" x14ac:dyDescent="0.3">
      <c r="B152" s="1"/>
    </row>
    <row r="153" spans="2:2" ht="15.6" x14ac:dyDescent="0.3">
      <c r="B153" s="1"/>
    </row>
    <row r="154" spans="2:2" ht="15.6" x14ac:dyDescent="0.3">
      <c r="B154" s="1"/>
    </row>
    <row r="155" spans="2:2" ht="15.6" x14ac:dyDescent="0.3">
      <c r="B155" s="1"/>
    </row>
    <row r="156" spans="2:2" ht="15.6" x14ac:dyDescent="0.3">
      <c r="B156" s="1"/>
    </row>
    <row r="157" spans="2:2" ht="15.6" x14ac:dyDescent="0.3">
      <c r="B157" s="1"/>
    </row>
    <row r="158" spans="2:2" ht="15.6" x14ac:dyDescent="0.3">
      <c r="B158" s="1"/>
    </row>
    <row r="159" spans="2:2" ht="15.6" x14ac:dyDescent="0.3">
      <c r="B159" s="1"/>
    </row>
    <row r="160" spans="2:2" ht="15.6" x14ac:dyDescent="0.3">
      <c r="B160" s="1"/>
    </row>
    <row r="161" spans="2:2" ht="15.6" x14ac:dyDescent="0.3">
      <c r="B161" s="1"/>
    </row>
    <row r="162" spans="2:2" ht="15.6" x14ac:dyDescent="0.3">
      <c r="B162" s="1"/>
    </row>
    <row r="163" spans="2:2" ht="15.6" x14ac:dyDescent="0.3">
      <c r="B163" s="1"/>
    </row>
    <row r="164" spans="2:2" ht="15.6" x14ac:dyDescent="0.3">
      <c r="B164" s="1"/>
    </row>
    <row r="165" spans="2:2" ht="15.6" x14ac:dyDescent="0.3">
      <c r="B165" s="1"/>
    </row>
    <row r="166" spans="2:2" ht="15.6" x14ac:dyDescent="0.3">
      <c r="B166" s="1"/>
    </row>
    <row r="167" spans="2:2" ht="15.6" x14ac:dyDescent="0.3">
      <c r="B167" s="1"/>
    </row>
    <row r="168" spans="2:2" ht="15.6" x14ac:dyDescent="0.3">
      <c r="B168" s="1"/>
    </row>
    <row r="169" spans="2:2" ht="15.6" x14ac:dyDescent="0.3">
      <c r="B169" s="1"/>
    </row>
    <row r="170" spans="2:2" ht="15.6" x14ac:dyDescent="0.3">
      <c r="B170" s="1"/>
    </row>
    <row r="171" spans="2:2" ht="15.6" x14ac:dyDescent="0.3">
      <c r="B171" s="1"/>
    </row>
    <row r="172" spans="2:2" ht="15.6" x14ac:dyDescent="0.3">
      <c r="B172" s="1"/>
    </row>
    <row r="173" spans="2:2" ht="15.6" x14ac:dyDescent="0.3">
      <c r="B173" s="1"/>
    </row>
    <row r="174" spans="2:2" ht="15.6" x14ac:dyDescent="0.3">
      <c r="B174" s="1"/>
    </row>
    <row r="175" spans="2:2" ht="15.6" x14ac:dyDescent="0.3">
      <c r="B175" s="1"/>
    </row>
    <row r="176" spans="2:2" ht="15.6" x14ac:dyDescent="0.3">
      <c r="B176" s="1"/>
    </row>
    <row r="177" spans="2:2" ht="15.6" x14ac:dyDescent="0.3">
      <c r="B177" s="1"/>
    </row>
    <row r="178" spans="2:2" ht="15.6" x14ac:dyDescent="0.3">
      <c r="B178" s="1"/>
    </row>
    <row r="179" spans="2:2" ht="15.6" x14ac:dyDescent="0.3">
      <c r="B179" s="1"/>
    </row>
    <row r="180" spans="2:2" ht="15.6" x14ac:dyDescent="0.3">
      <c r="B180" s="1"/>
    </row>
    <row r="181" spans="2:2" ht="15.6" x14ac:dyDescent="0.3">
      <c r="B181" s="1"/>
    </row>
    <row r="182" spans="2:2" ht="15.6" x14ac:dyDescent="0.3">
      <c r="B182" s="1"/>
    </row>
    <row r="183" spans="2:2" ht="15.6" x14ac:dyDescent="0.3">
      <c r="B183" s="1"/>
    </row>
    <row r="184" spans="2:2" ht="15.6" x14ac:dyDescent="0.3">
      <c r="B184" s="1"/>
    </row>
    <row r="185" spans="2:2" ht="15.6" x14ac:dyDescent="0.3">
      <c r="B185" s="1"/>
    </row>
    <row r="186" spans="2:2" ht="15.6" x14ac:dyDescent="0.3">
      <c r="B186" s="1"/>
    </row>
    <row r="187" spans="2:2" ht="15.6" x14ac:dyDescent="0.3">
      <c r="B187" s="1"/>
    </row>
    <row r="188" spans="2:2" ht="15.6" x14ac:dyDescent="0.3">
      <c r="B188" s="1"/>
    </row>
    <row r="189" spans="2:2" ht="15.6" x14ac:dyDescent="0.3">
      <c r="B189" s="1"/>
    </row>
    <row r="190" spans="2:2" ht="15.6" x14ac:dyDescent="0.3">
      <c r="B190" s="1"/>
    </row>
    <row r="191" spans="2:2" ht="15.6" x14ac:dyDescent="0.3">
      <c r="B191" s="1"/>
    </row>
    <row r="192" spans="2:2" ht="15.6" x14ac:dyDescent="0.3">
      <c r="B192" s="1"/>
    </row>
    <row r="193" spans="2:2" ht="15.6" x14ac:dyDescent="0.3">
      <c r="B193" s="1"/>
    </row>
    <row r="194" spans="2:2" ht="15.6" x14ac:dyDescent="0.3">
      <c r="B194" s="1"/>
    </row>
    <row r="195" spans="2:2" ht="15.6" x14ac:dyDescent="0.3">
      <c r="B195" s="1"/>
    </row>
    <row r="196" spans="2:2" ht="15.6" x14ac:dyDescent="0.3">
      <c r="B196" s="1"/>
    </row>
    <row r="197" spans="2:2" ht="15.6" x14ac:dyDescent="0.3">
      <c r="B197" s="1"/>
    </row>
    <row r="198" spans="2:2" ht="15.6" x14ac:dyDescent="0.3">
      <c r="B198" s="1"/>
    </row>
    <row r="199" spans="2:2" ht="15.6" x14ac:dyDescent="0.3">
      <c r="B199" s="1"/>
    </row>
    <row r="200" spans="2:2" ht="15.6" x14ac:dyDescent="0.3">
      <c r="B200" s="1"/>
    </row>
    <row r="201" spans="2:2" ht="15.6" x14ac:dyDescent="0.3">
      <c r="B201" s="1"/>
    </row>
    <row r="202" spans="2:2" ht="15.6" x14ac:dyDescent="0.3">
      <c r="B202" s="1"/>
    </row>
    <row r="203" spans="2:2" ht="15.6" x14ac:dyDescent="0.3">
      <c r="B203" s="1"/>
    </row>
    <row r="204" spans="2:2" ht="15.6" x14ac:dyDescent="0.3">
      <c r="B204" s="1"/>
    </row>
    <row r="205" spans="2:2" ht="15.6" x14ac:dyDescent="0.3">
      <c r="B205" s="1"/>
    </row>
    <row r="206" spans="2:2" ht="15.6" x14ac:dyDescent="0.3">
      <c r="B206" s="1"/>
    </row>
    <row r="207" spans="2:2" ht="15.6" x14ac:dyDescent="0.3">
      <c r="B207" s="1"/>
    </row>
    <row r="208" spans="2:2" ht="15.6" x14ac:dyDescent="0.3">
      <c r="B208" s="1"/>
    </row>
    <row r="209" spans="2:2" ht="15.6" x14ac:dyDescent="0.3">
      <c r="B209" s="1"/>
    </row>
    <row r="210" spans="2:2" ht="15.6" x14ac:dyDescent="0.3">
      <c r="B210" s="1"/>
    </row>
    <row r="211" spans="2:2" ht="15.6" x14ac:dyDescent="0.3">
      <c r="B211" s="1"/>
    </row>
    <row r="212" spans="2:2" ht="15.6" x14ac:dyDescent="0.3">
      <c r="B212" s="1"/>
    </row>
    <row r="213" spans="2:2" ht="15.6" x14ac:dyDescent="0.3">
      <c r="B213" s="1"/>
    </row>
    <row r="214" spans="2:2" ht="15.6" x14ac:dyDescent="0.3">
      <c r="B214" s="1"/>
    </row>
    <row r="215" spans="2:2" ht="15.6" x14ac:dyDescent="0.3">
      <c r="B215" s="1"/>
    </row>
    <row r="216" spans="2:2" ht="15.6" x14ac:dyDescent="0.3">
      <c r="B216" s="1"/>
    </row>
    <row r="217" spans="2:2" ht="15.6" x14ac:dyDescent="0.3">
      <c r="B217" s="1"/>
    </row>
    <row r="218" spans="2:2" ht="15.6" x14ac:dyDescent="0.3">
      <c r="B218" s="1"/>
    </row>
    <row r="219" spans="2:2" ht="15.6" x14ac:dyDescent="0.3">
      <c r="B219" s="1"/>
    </row>
    <row r="220" spans="2:2" ht="15.6" x14ac:dyDescent="0.3">
      <c r="B220" s="1"/>
    </row>
    <row r="221" spans="2:2" ht="15.6" x14ac:dyDescent="0.3">
      <c r="B221" s="1"/>
    </row>
    <row r="222" spans="2:2" ht="15.6" x14ac:dyDescent="0.3">
      <c r="B222" s="1"/>
    </row>
    <row r="223" spans="2:2" ht="15.6" x14ac:dyDescent="0.3">
      <c r="B223" s="1"/>
    </row>
    <row r="224" spans="2:2" ht="15.6" x14ac:dyDescent="0.3">
      <c r="B224" s="1"/>
    </row>
    <row r="225" spans="2:2" ht="15.6" x14ac:dyDescent="0.3">
      <c r="B225" s="1"/>
    </row>
    <row r="226" spans="2:2" ht="15.6" x14ac:dyDescent="0.3">
      <c r="B226" s="1"/>
    </row>
    <row r="227" spans="2:2" ht="15.6" x14ac:dyDescent="0.3">
      <c r="B227" s="1"/>
    </row>
    <row r="228" spans="2:2" ht="15.6" x14ac:dyDescent="0.3">
      <c r="B228" s="1"/>
    </row>
    <row r="229" spans="2:2" ht="15.6" x14ac:dyDescent="0.3">
      <c r="B229" s="1"/>
    </row>
    <row r="230" spans="2:2" ht="15.6" x14ac:dyDescent="0.3">
      <c r="B230" s="1"/>
    </row>
    <row r="231" spans="2:2" ht="15.6" x14ac:dyDescent="0.3">
      <c r="B231" s="1"/>
    </row>
    <row r="232" spans="2:2" ht="15.6" x14ac:dyDescent="0.3">
      <c r="B232" s="1"/>
    </row>
    <row r="233" spans="2:2" ht="15.6" x14ac:dyDescent="0.3">
      <c r="B233" s="1"/>
    </row>
    <row r="234" spans="2:2" ht="15.6" x14ac:dyDescent="0.3">
      <c r="B234" s="1"/>
    </row>
    <row r="235" spans="2:2" ht="15.6" x14ac:dyDescent="0.3">
      <c r="B235" s="1"/>
    </row>
    <row r="236" spans="2:2" ht="15.6" x14ac:dyDescent="0.3">
      <c r="B236" s="1"/>
    </row>
    <row r="237" spans="2:2" ht="15.6" x14ac:dyDescent="0.3">
      <c r="B237" s="1"/>
    </row>
    <row r="238" spans="2:2" ht="15.6" x14ac:dyDescent="0.3">
      <c r="B238" s="1"/>
    </row>
    <row r="239" spans="2:2" ht="15.6" x14ac:dyDescent="0.3">
      <c r="B239" s="1"/>
    </row>
    <row r="240" spans="2:2" ht="15.6" x14ac:dyDescent="0.3">
      <c r="B240" s="1"/>
    </row>
    <row r="241" spans="2:2" ht="15.6" x14ac:dyDescent="0.3">
      <c r="B241" s="1"/>
    </row>
    <row r="242" spans="2:2" ht="15.6" x14ac:dyDescent="0.3">
      <c r="B242" s="1"/>
    </row>
    <row r="243" spans="2:2" ht="15.6" x14ac:dyDescent="0.3">
      <c r="B243" s="1"/>
    </row>
    <row r="244" spans="2:2" ht="15.6" x14ac:dyDescent="0.3">
      <c r="B244" s="1"/>
    </row>
    <row r="245" spans="2:2" ht="15.6" x14ac:dyDescent="0.3">
      <c r="B245" s="1"/>
    </row>
    <row r="246" spans="2:2" ht="15.6" x14ac:dyDescent="0.3">
      <c r="B246" s="1"/>
    </row>
    <row r="247" spans="2:2" ht="15.6" x14ac:dyDescent="0.3">
      <c r="B247" s="1"/>
    </row>
    <row r="248" spans="2:2" ht="15.6" x14ac:dyDescent="0.3">
      <c r="B248" s="1"/>
    </row>
    <row r="249" spans="2:2" ht="15.6" x14ac:dyDescent="0.3">
      <c r="B249" s="1"/>
    </row>
    <row r="250" spans="2:2" ht="15.6" x14ac:dyDescent="0.3">
      <c r="B250" s="1"/>
    </row>
    <row r="251" spans="2:2" ht="15.6" x14ac:dyDescent="0.3">
      <c r="B251" s="1"/>
    </row>
    <row r="252" spans="2:2" ht="15.6" x14ac:dyDescent="0.3">
      <c r="B252" s="1"/>
    </row>
    <row r="253" spans="2:2" ht="15.6" x14ac:dyDescent="0.3">
      <c r="B253" s="1"/>
    </row>
  </sheetData>
  <mergeCells count="14">
    <mergeCell ref="B57:C57"/>
    <mergeCell ref="B63:C63"/>
    <mergeCell ref="B30:C30"/>
    <mergeCell ref="B35:C35"/>
    <mergeCell ref="B41:C41"/>
    <mergeCell ref="B42:C42"/>
    <mergeCell ref="B47:C47"/>
    <mergeCell ref="B52:C52"/>
    <mergeCell ref="B25:C25"/>
    <mergeCell ref="B7:C7"/>
    <mergeCell ref="B8:C8"/>
    <mergeCell ref="B13:C13"/>
    <mergeCell ref="B19:C19"/>
    <mergeCell ref="B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Grupo 1</vt:lpstr>
      <vt:lpstr>Grupo 2</vt:lpstr>
      <vt:lpstr>Grupo 3</vt:lpstr>
      <vt:lpstr>Grupo 4</vt:lpstr>
      <vt:lpstr>Grupo 5</vt:lpstr>
      <vt:lpstr>Grupo 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AntonioAguirre</dc:creator>
  <cp:lastModifiedBy>Guillermo AntonioAguirre</cp:lastModifiedBy>
  <dcterms:created xsi:type="dcterms:W3CDTF">2024-12-05T03:18:57Z</dcterms:created>
  <dcterms:modified xsi:type="dcterms:W3CDTF">2024-12-05T17:06:10Z</dcterms:modified>
</cp:coreProperties>
</file>